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10c79fabacd66a/Desktop/EmpireCenter/2024/"/>
    </mc:Choice>
  </mc:AlternateContent>
  <xr:revisionPtr revIDLastSave="205" documentId="13_ncr:1_{E53C4CFB-BBA3-41D5-8591-941F56651CD7}" xr6:coauthVersionLast="47" xr6:coauthVersionMax="47" xr10:uidLastSave="{6EF2C5CB-8425-47EF-87DF-257DADDCA285}"/>
  <bookViews>
    <workbookView xWindow="-110" yWindow="-110" windowWidth="19420" windowHeight="11500" xr2:uid="{1D447C4F-2DB5-4363-A06D-1CEFF04D6F51}"/>
  </bookViews>
  <sheets>
    <sheet name="master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84" i="3" l="1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2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62" i="3" l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<sst xmlns="http://schemas.openxmlformats.org/spreadsheetml/2006/main" count="9549" uniqueCount="3110">
  <si>
    <t>010201000000</t>
  </si>
  <si>
    <t>Albany</t>
  </si>
  <si>
    <t>270202000000</t>
  </si>
  <si>
    <t>Montgomery</t>
  </si>
  <si>
    <t>050203000000</t>
  </si>
  <si>
    <t>Cayuga</t>
  </si>
  <si>
    <t>180204000000</t>
  </si>
  <si>
    <t>Genesee</t>
  </si>
  <si>
    <t>130205000000</t>
  </si>
  <si>
    <t>Dutchess</t>
  </si>
  <si>
    <t>030206000000</t>
  </si>
  <si>
    <t>Broome</t>
  </si>
  <si>
    <t>140207000000</t>
  </si>
  <si>
    <t>Erie</t>
  </si>
  <si>
    <t>320208000000</t>
  </si>
  <si>
    <t>Ontario</t>
  </si>
  <si>
    <t>010209000000</t>
  </si>
  <si>
    <t>460210000000</t>
  </si>
  <si>
    <t>Steuben</t>
  </si>
  <si>
    <t>110211000000</t>
  </si>
  <si>
    <t>Cortland</t>
  </si>
  <si>
    <t>060212000000</t>
  </si>
  <si>
    <t>Chautauqua</t>
  </si>
  <si>
    <t>070213000000</t>
  </si>
  <si>
    <t>Chemung</t>
  </si>
  <si>
    <t>350214000000</t>
  </si>
  <si>
    <t>Oswego</t>
  </si>
  <si>
    <t>Not Filed</t>
  </si>
  <si>
    <t>320215000000</t>
  </si>
  <si>
    <t>280216000000</t>
  </si>
  <si>
    <t>Nassau</t>
  </si>
  <si>
    <t>520217000000</t>
  </si>
  <si>
    <t>Warren</t>
  </si>
  <si>
    <t>170218000000</t>
  </si>
  <si>
    <t>Fulton</t>
  </si>
  <si>
    <t>460219000000</t>
  </si>
  <si>
    <t>100220000000</t>
  </si>
  <si>
    <t>Columbia</t>
  </si>
  <si>
    <t>500221000000</t>
  </si>
  <si>
    <t>Tompkins</t>
  </si>
  <si>
    <t>060222000000</t>
  </si>
  <si>
    <t>170223000000</t>
  </si>
  <si>
    <t>510224000000</t>
  </si>
  <si>
    <t>Ulster</t>
  </si>
  <si>
    <t>140225000000</t>
  </si>
  <si>
    <t>210226000000</t>
  </si>
  <si>
    <t>Herkimer</t>
  </si>
  <si>
    <t>290227000000</t>
  </si>
  <si>
    <t>Niagara</t>
  </si>
  <si>
    <t>280228000000</t>
  </si>
  <si>
    <t>410229000000</t>
  </si>
  <si>
    <t>Saratoga</t>
  </si>
  <si>
    <t>330230000000</t>
  </si>
  <si>
    <t>Orange</t>
  </si>
  <si>
    <t>550231000000</t>
  </si>
  <si>
    <t>Westchester</t>
  </si>
  <si>
    <t>550233000000</t>
  </si>
  <si>
    <t>330232000000</t>
  </si>
  <si>
    <t>290235000000</t>
  </si>
  <si>
    <t>290236000000</t>
  </si>
  <si>
    <t>080237000000</t>
  </si>
  <si>
    <t>Chenango</t>
  </si>
  <si>
    <t>400238000000</t>
  </si>
  <si>
    <t>St. Lawrence</t>
  </si>
  <si>
    <t>040239000000</t>
  </si>
  <si>
    <t>Cattaraugus</t>
  </si>
  <si>
    <t>250240000000</t>
  </si>
  <si>
    <t>Madison</t>
  </si>
  <si>
    <t>360241000000</t>
  </si>
  <si>
    <t>Otsego</t>
  </si>
  <si>
    <t>350242000000</t>
  </si>
  <si>
    <t>550243000000</t>
  </si>
  <si>
    <t>090244000000</t>
  </si>
  <si>
    <t>Clinton</t>
  </si>
  <si>
    <t>330245000000</t>
  </si>
  <si>
    <t>130246000000</t>
  </si>
  <si>
    <t>380247000000</t>
  </si>
  <si>
    <t>Rensselaer</t>
  </si>
  <si>
    <t>260248000000</t>
  </si>
  <si>
    <t>Monroe</t>
  </si>
  <si>
    <t>300249000000</t>
  </si>
  <si>
    <t>Oneida</t>
  </si>
  <si>
    <t>550250000000</t>
  </si>
  <si>
    <t>040251000000</t>
  </si>
  <si>
    <t>410252000000</t>
  </si>
  <si>
    <t>420253000000</t>
  </si>
  <si>
    <t>Schenectady</t>
  </si>
  <si>
    <t>300254000000</t>
  </si>
  <si>
    <t>310255000000</t>
  </si>
  <si>
    <t>Onondaga</t>
  </si>
  <si>
    <t>140256000000</t>
  </si>
  <si>
    <t>380257000000</t>
  </si>
  <si>
    <t>300258000000</t>
  </si>
  <si>
    <t>220259000000</t>
  </si>
  <si>
    <t>Jefferson</t>
  </si>
  <si>
    <t>010260000000</t>
  </si>
  <si>
    <t>550261000000</t>
  </si>
  <si>
    <t>550262000000</t>
  </si>
  <si>
    <t>Amsterdam</t>
  </si>
  <si>
    <t>Auburn</t>
  </si>
  <si>
    <t>Batavia</t>
  </si>
  <si>
    <t>Beacon</t>
  </si>
  <si>
    <t>Binghamton</t>
  </si>
  <si>
    <t>Buffalo</t>
  </si>
  <si>
    <t>Canandaigua</t>
  </si>
  <si>
    <t>Cohoes</t>
  </si>
  <si>
    <t>Corning</t>
  </si>
  <si>
    <t>Dunkirk</t>
  </si>
  <si>
    <t>Elmira</t>
  </si>
  <si>
    <t>Geneva</t>
  </si>
  <si>
    <t>Glen Cove</t>
  </si>
  <si>
    <t>Glens Falls</t>
  </si>
  <si>
    <t>Gloversville</t>
  </si>
  <si>
    <t>Hornell</t>
  </si>
  <si>
    <t>Hudson</t>
  </si>
  <si>
    <t>Ithaca</t>
  </si>
  <si>
    <t>Jamestown</t>
  </si>
  <si>
    <t>Johnstown</t>
  </si>
  <si>
    <t>Kingston</t>
  </si>
  <si>
    <t>Lackawanna</t>
  </si>
  <si>
    <t>Little Falls</t>
  </si>
  <si>
    <t>Lockport</t>
  </si>
  <si>
    <t>Long Beach</t>
  </si>
  <si>
    <t>Mechanicville</t>
  </si>
  <si>
    <t>Middletown</t>
  </si>
  <si>
    <t>Mount Vernon</t>
  </si>
  <si>
    <t>New Rochelle</t>
  </si>
  <si>
    <t>Newburgh</t>
  </si>
  <si>
    <t>Niagara Falls</t>
  </si>
  <si>
    <t>North Tonawanda</t>
  </si>
  <si>
    <t>Norwich</t>
  </si>
  <si>
    <t>Ogdensburg</t>
  </si>
  <si>
    <t>Olean</t>
  </si>
  <si>
    <t>Oneonta</t>
  </si>
  <si>
    <t>Peekskill</t>
  </si>
  <si>
    <t>Plattsburgh</t>
  </si>
  <si>
    <t>Port Jervis</t>
  </si>
  <si>
    <t>Poughkeepsie</t>
  </si>
  <si>
    <t>Rochester</t>
  </si>
  <si>
    <t>Rome</t>
  </si>
  <si>
    <t>Rye</t>
  </si>
  <si>
    <t>Salamanca</t>
  </si>
  <si>
    <t>Saratoga Springs</t>
  </si>
  <si>
    <t>Sherrill</t>
  </si>
  <si>
    <t>Syracuse</t>
  </si>
  <si>
    <t>Tonawanda</t>
  </si>
  <si>
    <t>Troy</t>
  </si>
  <si>
    <t>Utica</t>
  </si>
  <si>
    <t>Watertown</t>
  </si>
  <si>
    <t>Watervliet</t>
  </si>
  <si>
    <t>White Plains</t>
  </si>
  <si>
    <t>Yonkers</t>
  </si>
  <si>
    <t>muni_Code</t>
  </si>
  <si>
    <t>municipality_name</t>
  </si>
  <si>
    <t>region</t>
  </si>
  <si>
    <t>area</t>
  </si>
  <si>
    <t>county</t>
  </si>
  <si>
    <t>size</t>
  </si>
  <si>
    <t>population</t>
  </si>
  <si>
    <t>full_value_per_capita</t>
  </si>
  <si>
    <t>effective_property_tax_rate</t>
  </si>
  <si>
    <t>taxes_per_capita</t>
  </si>
  <si>
    <t>debt_per_capita</t>
  </si>
  <si>
    <t>expenditure_per_capita</t>
  </si>
  <si>
    <t>municipality_type</t>
  </si>
  <si>
    <t>year</t>
  </si>
  <si>
    <t>land_area</t>
  </si>
  <si>
    <t>220300100000</t>
  </si>
  <si>
    <t>Adams</t>
  </si>
  <si>
    <t>North Country</t>
  </si>
  <si>
    <t>Upstate</t>
  </si>
  <si>
    <t>460300200000</t>
  </si>
  <si>
    <t>Addison</t>
  </si>
  <si>
    <t>Southern Tier</t>
  </si>
  <si>
    <t>080300300000</t>
  </si>
  <si>
    <t>Afton</t>
  </si>
  <si>
    <t>180300400000</t>
  </si>
  <si>
    <t>Alabama</t>
  </si>
  <si>
    <t>Finger Lakes</t>
  </si>
  <si>
    <t>340300500000</t>
  </si>
  <si>
    <t>Albion</t>
  </si>
  <si>
    <t>Orleans</t>
  </si>
  <si>
    <t>350300600000</t>
  </si>
  <si>
    <t>Central New York</t>
  </si>
  <si>
    <t>140300700000</t>
  </si>
  <si>
    <t>Alden</t>
  </si>
  <si>
    <t>Western New York</t>
  </si>
  <si>
    <t>180300800000</t>
  </si>
  <si>
    <t>Alexander</t>
  </si>
  <si>
    <t>220300900000</t>
  </si>
  <si>
    <t>Alexandria</t>
  </si>
  <si>
    <t>020301000000</t>
  </si>
  <si>
    <t>Alfred</t>
  </si>
  <si>
    <t>Allegany</t>
  </si>
  <si>
    <t>040301100000</t>
  </si>
  <si>
    <t>020301200000</t>
  </si>
  <si>
    <t>Allen</t>
  </si>
  <si>
    <t>020301300000</t>
  </si>
  <si>
    <t>Alma</t>
  </si>
  <si>
    <t>020301400000</t>
  </si>
  <si>
    <t>Almond</t>
  </si>
  <si>
    <t>090301600000</t>
  </si>
  <si>
    <t>Altona</t>
  </si>
  <si>
    <t>350301700000</t>
  </si>
  <si>
    <t>Amboy</t>
  </si>
  <si>
    <t>130301800000</t>
  </si>
  <si>
    <t>Amenia</t>
  </si>
  <si>
    <t>Mid-Hudson</t>
  </si>
  <si>
    <t>Downstate</t>
  </si>
  <si>
    <t>140301900000</t>
  </si>
  <si>
    <t>Amherst</t>
  </si>
  <si>
    <t>020302000000</t>
  </si>
  <si>
    <t>Amity</t>
  </si>
  <si>
    <t>270302100000</t>
  </si>
  <si>
    <t>Mohawk Valley</t>
  </si>
  <si>
    <t>100302200000</t>
  </si>
  <si>
    <t>Ancram</t>
  </si>
  <si>
    <t>Capital</t>
  </si>
  <si>
    <t>120302300000</t>
  </si>
  <si>
    <t>Andes</t>
  </si>
  <si>
    <t>Delaware</t>
  </si>
  <si>
    <t>020302400000</t>
  </si>
  <si>
    <t>Andover</t>
  </si>
  <si>
    <t>020302500000</t>
  </si>
  <si>
    <t>Angelica</t>
  </si>
  <si>
    <t>300302600000</t>
  </si>
  <si>
    <t>Annsville</t>
  </si>
  <si>
    <t>220302700000</t>
  </si>
  <si>
    <t>Antwerp</t>
  </si>
  <si>
    <t>560302800000</t>
  </si>
  <si>
    <t>Arcade</t>
  </si>
  <si>
    <t>Wyoming</t>
  </si>
  <si>
    <t>540302900000</t>
  </si>
  <si>
    <t>Arcadia</t>
  </si>
  <si>
    <t>Wayne</t>
  </si>
  <si>
    <t>530303000000</t>
  </si>
  <si>
    <t>Argyle</t>
  </si>
  <si>
    <t>Washington</t>
  </si>
  <si>
    <t>200303100000</t>
  </si>
  <si>
    <t>Arietta</t>
  </si>
  <si>
    <t>Hamilton</t>
  </si>
  <si>
    <t>060303200000</t>
  </si>
  <si>
    <t>Arkwright</t>
  </si>
  <si>
    <t>040303300000</t>
  </si>
  <si>
    <t>Ashford</t>
  </si>
  <si>
    <t>070303400000</t>
  </si>
  <si>
    <t>Ashland</t>
  </si>
  <si>
    <t>190303500000</t>
  </si>
  <si>
    <t>Greene</t>
  </si>
  <si>
    <t>190303600000</t>
  </si>
  <si>
    <t>Athens</t>
  </si>
  <si>
    <t>560303700000</t>
  </si>
  <si>
    <t>Attica</t>
  </si>
  <si>
    <t>300303800000</t>
  </si>
  <si>
    <t>Augusta</t>
  </si>
  <si>
    <t>050303900000</t>
  </si>
  <si>
    <t>Aurelius</t>
  </si>
  <si>
    <t>140304000000</t>
  </si>
  <si>
    <t>Aurora</t>
  </si>
  <si>
    <t>090304100000</t>
  </si>
  <si>
    <t>Ausable</t>
  </si>
  <si>
    <t>100304200000</t>
  </si>
  <si>
    <t>Austerlitz</t>
  </si>
  <si>
    <t>300304300000</t>
  </si>
  <si>
    <t>Ava</t>
  </si>
  <si>
    <t>460304400000</t>
  </si>
  <si>
    <t>Avoca</t>
  </si>
  <si>
    <t>240304500000</t>
  </si>
  <si>
    <t>Avon</t>
  </si>
  <si>
    <t>Livingston</t>
  </si>
  <si>
    <t>470304600000</t>
  </si>
  <si>
    <t>Babylon</t>
  </si>
  <si>
    <t>Suffolk</t>
  </si>
  <si>
    <t>Long Island</t>
  </si>
  <si>
    <t>080304700000</t>
  </si>
  <si>
    <t>Bainbridge</t>
  </si>
  <si>
    <t>070304800000</t>
  </si>
  <si>
    <t>Baldwin</t>
  </si>
  <si>
    <t>410304900000</t>
  </si>
  <si>
    <t>Ballston</t>
  </si>
  <si>
    <t>160305000000</t>
  </si>
  <si>
    <t>Bangor</t>
  </si>
  <si>
    <t>Franklin</t>
  </si>
  <si>
    <t>030305100000</t>
  </si>
  <si>
    <t>Barker</t>
  </si>
  <si>
    <t>340305200000</t>
  </si>
  <si>
    <t>Barre</t>
  </si>
  <si>
    <t>570305300000</t>
  </si>
  <si>
    <t>Barrington</t>
  </si>
  <si>
    <t>Yates</t>
  </si>
  <si>
    <t>490305400000</t>
  </si>
  <si>
    <t>Barton</t>
  </si>
  <si>
    <t>Tioga</t>
  </si>
  <si>
    <t>180305500000</t>
  </si>
  <si>
    <t>460305600000</t>
  </si>
  <si>
    <t>Bath</t>
  </si>
  <si>
    <t>550305700000</t>
  </si>
  <si>
    <t>Bedford</t>
  </si>
  <si>
    <t>130305800000</t>
  </si>
  <si>
    <t>Beekman</t>
  </si>
  <si>
    <t>090305900000</t>
  </si>
  <si>
    <t>Beekmantown</t>
  </si>
  <si>
    <t>020306000000</t>
  </si>
  <si>
    <t>Belfast</t>
  </si>
  <si>
    <t>160306100000</t>
  </si>
  <si>
    <t>Bellmont</t>
  </si>
  <si>
    <t>560306200000</t>
  </si>
  <si>
    <t>Bennington</t>
  </si>
  <si>
    <t>200306300000</t>
  </si>
  <si>
    <t>Benson</t>
  </si>
  <si>
    <t>570306400000</t>
  </si>
  <si>
    <t>Benton</t>
  </si>
  <si>
    <t>180306500000</t>
  </si>
  <si>
    <t>Bergen</t>
  </si>
  <si>
    <t>490306600000</t>
  </si>
  <si>
    <t>Berkshire</t>
  </si>
  <si>
    <t>380306700000</t>
  </si>
  <si>
    <t>Berlin</t>
  </si>
  <si>
    <t>010306800000</t>
  </si>
  <si>
    <t>Berne</t>
  </si>
  <si>
    <t>180306900000</t>
  </si>
  <si>
    <t>Bethany</t>
  </si>
  <si>
    <t>480307000000</t>
  </si>
  <si>
    <t>Bethel</t>
  </si>
  <si>
    <t>Sullivan</t>
  </si>
  <si>
    <t>010307100000</t>
  </si>
  <si>
    <t>Bethlehem</t>
  </si>
  <si>
    <t>070307200000</t>
  </si>
  <si>
    <t>Big Flats</t>
  </si>
  <si>
    <t>030307300000</t>
  </si>
  <si>
    <t>020307400000</t>
  </si>
  <si>
    <t>Birdsall</t>
  </si>
  <si>
    <t>090307500000</t>
  </si>
  <si>
    <t>Black Brook</t>
  </si>
  <si>
    <t>170307600000</t>
  </si>
  <si>
    <t>Bleecker</t>
  </si>
  <si>
    <t>430307700000</t>
  </si>
  <si>
    <t>Blenheim</t>
  </si>
  <si>
    <t>Schoharie</t>
  </si>
  <si>
    <t>330307800000</t>
  </si>
  <si>
    <t>Blooming Grove</t>
  </si>
  <si>
    <t>020307900000</t>
  </si>
  <si>
    <t>Bolivar</t>
  </si>
  <si>
    <t>520308000000</t>
  </si>
  <si>
    <t>Bolton</t>
  </si>
  <si>
    <t>160308100000</t>
  </si>
  <si>
    <t>Bombay</t>
  </si>
  <si>
    <t>300308200000</t>
  </si>
  <si>
    <t>Boonville</t>
  </si>
  <si>
    <t>140308300000</t>
  </si>
  <si>
    <t>Boston</t>
  </si>
  <si>
    <t>120308400000</t>
  </si>
  <si>
    <t>Bovina</t>
  </si>
  <si>
    <t>350308500000</t>
  </si>
  <si>
    <t>Boylston</t>
  </si>
  <si>
    <t>460308600000</t>
  </si>
  <si>
    <t>Bradford</t>
  </si>
  <si>
    <t>160308700000</t>
  </si>
  <si>
    <t>Brandon</t>
  </si>
  <si>
    <t>140308800000</t>
  </si>
  <si>
    <t>Brant</t>
  </si>
  <si>
    <t>400308900000</t>
  </si>
  <si>
    <t>Brasher</t>
  </si>
  <si>
    <t>300309000000</t>
  </si>
  <si>
    <t>Bridgewater</t>
  </si>
  <si>
    <t>160309100000</t>
  </si>
  <si>
    <t>Brighton</t>
  </si>
  <si>
    <t>260309200000</t>
  </si>
  <si>
    <t>320309300000</t>
  </si>
  <si>
    <t>Bristol</t>
  </si>
  <si>
    <t>170309400000</t>
  </si>
  <si>
    <t>Broadalbin</t>
  </si>
  <si>
    <t>250309500000</t>
  </si>
  <si>
    <t>Brookfield</t>
  </si>
  <si>
    <t>470309600000</t>
  </si>
  <si>
    <t>Brookhaven</t>
  </si>
  <si>
    <t>430309700000</t>
  </si>
  <si>
    <t>220309800000</t>
  </si>
  <si>
    <t>Brownville</t>
  </si>
  <si>
    <t>380309900000</t>
  </si>
  <si>
    <t>Brunswick</t>
  </si>
  <si>
    <t>050310000000</t>
  </si>
  <si>
    <t>Brutus</t>
  </si>
  <si>
    <t>160310100000</t>
  </si>
  <si>
    <t>Burke</t>
  </si>
  <si>
    <t>360310200000</t>
  </si>
  <si>
    <t>Burlington</t>
  </si>
  <si>
    <t>020310300000</t>
  </si>
  <si>
    <t>Burns</t>
  </si>
  <si>
    <t>060310400000</t>
  </si>
  <si>
    <t>Busti</t>
  </si>
  <si>
    <t>540310500000</t>
  </si>
  <si>
    <t>Butler</t>
  </si>
  <si>
    <t>360310600000</t>
  </si>
  <si>
    <t>Butternuts</t>
  </si>
  <si>
    <t>180310700000</t>
  </si>
  <si>
    <t>Byron</t>
  </si>
  <si>
    <t>190310800000</t>
  </si>
  <si>
    <t>Cairo</t>
  </si>
  <si>
    <t>240311000000</t>
  </si>
  <si>
    <t>Caledonia</t>
  </si>
  <si>
    <t>480311100000</t>
  </si>
  <si>
    <t>Callicoon</t>
  </si>
  <si>
    <t>290311200000</t>
  </si>
  <si>
    <t>Cambria</t>
  </si>
  <si>
    <t>530311300000</t>
  </si>
  <si>
    <t>Cambridge</t>
  </si>
  <si>
    <t>300311400000</t>
  </si>
  <si>
    <t>Camden</t>
  </si>
  <si>
    <t>460311500000</t>
  </si>
  <si>
    <t>Cameron</t>
  </si>
  <si>
    <t>310311600000</t>
  </si>
  <si>
    <t>Camillus</t>
  </si>
  <si>
    <t>460311700000</t>
  </si>
  <si>
    <t>Campbell</t>
  </si>
  <si>
    <t>100311800000</t>
  </si>
  <si>
    <t>Canaan</t>
  </si>
  <si>
    <t>320311900000</t>
  </si>
  <si>
    <t>Canadice</t>
  </si>
  <si>
    <t>270312000000</t>
  </si>
  <si>
    <t>Canajoharie</t>
  </si>
  <si>
    <t>320312100000</t>
  </si>
  <si>
    <t>490312200000</t>
  </si>
  <si>
    <t>Candor</t>
  </si>
  <si>
    <t>020312300000</t>
  </si>
  <si>
    <t>Caneadea</t>
  </si>
  <si>
    <t>460312400000</t>
  </si>
  <si>
    <t>Canisteo</t>
  </si>
  <si>
    <t>400312500000</t>
  </si>
  <si>
    <t>Canton</t>
  </si>
  <si>
    <t>220312600000</t>
  </si>
  <si>
    <t>Cape Vincent</t>
  </si>
  <si>
    <t>430312700000</t>
  </si>
  <si>
    <t>Carlisle</t>
  </si>
  <si>
    <t>340312800000</t>
  </si>
  <si>
    <t>Carlton</t>
  </si>
  <si>
    <t>370312900000</t>
  </si>
  <si>
    <t>Carmel</t>
  </si>
  <si>
    <t>Putnam</t>
  </si>
  <si>
    <t>170313000000</t>
  </si>
  <si>
    <t>Caroga</t>
  </si>
  <si>
    <t>500313100000</t>
  </si>
  <si>
    <t>Caroline</t>
  </si>
  <si>
    <t>060313200000</t>
  </si>
  <si>
    <t>Carroll</t>
  </si>
  <si>
    <t>040313300000</t>
  </si>
  <si>
    <t>Carrollton</t>
  </si>
  <si>
    <t>560313400000</t>
  </si>
  <si>
    <t>Castile</t>
  </si>
  <si>
    <t>440313500000</t>
  </si>
  <si>
    <t>Catharine</t>
  </si>
  <si>
    <t>Schuyler</t>
  </si>
  <si>
    <t>070313600000</t>
  </si>
  <si>
    <t>Catlin</t>
  </si>
  <si>
    <t>050313700000</t>
  </si>
  <si>
    <t>Cato</t>
  </si>
  <si>
    <t>460313800000</t>
  </si>
  <si>
    <t>Caton</t>
  </si>
  <si>
    <t>190313900000</t>
  </si>
  <si>
    <t>Catskill</t>
  </si>
  <si>
    <t>440314000000</t>
  </si>
  <si>
    <t>Cayuta</t>
  </si>
  <si>
    <t>250314100000</t>
  </si>
  <si>
    <t>Cazenovia</t>
  </si>
  <si>
    <t>020314200000</t>
  </si>
  <si>
    <t>Centerville</t>
  </si>
  <si>
    <t>220314300000</t>
  </si>
  <si>
    <t>Champion</t>
  </si>
  <si>
    <t>090314400000</t>
  </si>
  <si>
    <t>Champlain</t>
  </si>
  <si>
    <t>270314500000</t>
  </si>
  <si>
    <t>Charleston</t>
  </si>
  <si>
    <t>060314600000</t>
  </si>
  <si>
    <t>Charlotte</t>
  </si>
  <si>
    <t>410314700000</t>
  </si>
  <si>
    <t>Charlton</t>
  </si>
  <si>
    <t>160314800000</t>
  </si>
  <si>
    <t>Chateaugay</t>
  </si>
  <si>
    <t>100314900000</t>
  </si>
  <si>
    <t>Chatham</t>
  </si>
  <si>
    <t>060315000000</t>
  </si>
  <si>
    <t>090315100000</t>
  </si>
  <si>
    <t>Chazy</t>
  </si>
  <si>
    <t>140315200000</t>
  </si>
  <si>
    <t>Cheektowaga</t>
  </si>
  <si>
    <t>070315300000</t>
  </si>
  <si>
    <t>030315400000</t>
  </si>
  <si>
    <t>060315500000</t>
  </si>
  <si>
    <t>Cherry Creek</t>
  </si>
  <si>
    <t>360315600000</t>
  </si>
  <si>
    <t>Cherry Valley</t>
  </si>
  <si>
    <t>330315700000</t>
  </si>
  <si>
    <t>Chester</t>
  </si>
  <si>
    <t>520315800000</t>
  </si>
  <si>
    <t>150315900000</t>
  </si>
  <si>
    <t>Chesterfield</t>
  </si>
  <si>
    <t>Essex</t>
  </si>
  <si>
    <t>260316000000</t>
  </si>
  <si>
    <t>Chili</t>
  </si>
  <si>
    <t>310316100000</t>
  </si>
  <si>
    <t>Cicero</t>
  </si>
  <si>
    <t>110316200000</t>
  </si>
  <si>
    <t>Cincinnatus</t>
  </si>
  <si>
    <t>400316300000</t>
  </si>
  <si>
    <t>Clare</t>
  </si>
  <si>
    <t>140316400000</t>
  </si>
  <si>
    <t>Clarence</t>
  </si>
  <si>
    <t>340316500000</t>
  </si>
  <si>
    <t>Clarendon</t>
  </si>
  <si>
    <t>260316600000</t>
  </si>
  <si>
    <t>Clarkson</t>
  </si>
  <si>
    <t>390316700000</t>
  </si>
  <si>
    <t>Clarkstown</t>
  </si>
  <si>
    <t>Rockland</t>
  </si>
  <si>
    <t>020316800000</t>
  </si>
  <si>
    <t>Clarksville</t>
  </si>
  <si>
    <t>100316900000</t>
  </si>
  <si>
    <t>Claverack</t>
  </si>
  <si>
    <t>310317000000</t>
  </si>
  <si>
    <t>Clay</t>
  </si>
  <si>
    <t>220317100000</t>
  </si>
  <si>
    <t>Clayton</t>
  </si>
  <si>
    <t>100317200000</t>
  </si>
  <si>
    <t>Clermont</t>
  </si>
  <si>
    <t>400317300000</t>
  </si>
  <si>
    <t>Clifton</t>
  </si>
  <si>
    <t>410317400000</t>
  </si>
  <si>
    <t>Clifton Park</t>
  </si>
  <si>
    <t>090317500000</t>
  </si>
  <si>
    <t>130317600000</t>
  </si>
  <si>
    <t>060317700000</t>
  </si>
  <si>
    <t>Clymer</t>
  </si>
  <si>
    <t>430317800000</t>
  </si>
  <si>
    <t>Cobleskill</t>
  </si>
  <si>
    <t>480317900000</t>
  </si>
  <si>
    <t>Cochecton</t>
  </si>
  <si>
    <t>010318000000</t>
  </si>
  <si>
    <t>Coeymans</t>
  </si>
  <si>
    <t>460318100000</t>
  </si>
  <si>
    <t>Cohocton</t>
  </si>
  <si>
    <t>120318200000</t>
  </si>
  <si>
    <t>Colchester</t>
  </si>
  <si>
    <t>140318300000</t>
  </si>
  <si>
    <t>Colden</t>
  </si>
  <si>
    <t>040318400000</t>
  </si>
  <si>
    <t>Coldspring</t>
  </si>
  <si>
    <t>030318500000</t>
  </si>
  <si>
    <t>Colesville</t>
  </si>
  <si>
    <t>140318600000</t>
  </si>
  <si>
    <t>Collins</t>
  </si>
  <si>
    <t>010318700000</t>
  </si>
  <si>
    <t>Colonie</t>
  </si>
  <si>
    <t>400318800000</t>
  </si>
  <si>
    <t>Colton</t>
  </si>
  <si>
    <t>210318900000</t>
  </si>
  <si>
    <t>080319000000</t>
  </si>
  <si>
    <t>Columbus</t>
  </si>
  <si>
    <t>140319100000</t>
  </si>
  <si>
    <t>Concord</t>
  </si>
  <si>
    <t>240319200000</t>
  </si>
  <si>
    <t>Conesus</t>
  </si>
  <si>
    <t>430319300000</t>
  </si>
  <si>
    <t>Conesville</t>
  </si>
  <si>
    <t>040319400000</t>
  </si>
  <si>
    <t>Conewango</t>
  </si>
  <si>
    <t>030319500000</t>
  </si>
  <si>
    <t>Conklin</t>
  </si>
  <si>
    <t>050319600000</t>
  </si>
  <si>
    <t>Conquest</t>
  </si>
  <si>
    <t>160319700000</t>
  </si>
  <si>
    <t>Constable</t>
  </si>
  <si>
    <t>350319800000</t>
  </si>
  <si>
    <t>Constantia</t>
  </si>
  <si>
    <t>100319900000</t>
  </si>
  <si>
    <t>Copake</t>
  </si>
  <si>
    <t>410320000000</t>
  </si>
  <si>
    <t>Corinth</t>
  </si>
  <si>
    <t>460320100000</t>
  </si>
  <si>
    <t>330320200000</t>
  </si>
  <si>
    <t>Cornwall</t>
  </si>
  <si>
    <t>550320300000</t>
  </si>
  <si>
    <t>Cortlandt</t>
  </si>
  <si>
    <t>110320400000</t>
  </si>
  <si>
    <t>Cortlandville</t>
  </si>
  <si>
    <t>080320500000</t>
  </si>
  <si>
    <t>Coventry</t>
  </si>
  <si>
    <t>450320600000</t>
  </si>
  <si>
    <t>Covert</t>
  </si>
  <si>
    <t>Seneca</t>
  </si>
  <si>
    <t>560320700000</t>
  </si>
  <si>
    <t>Covington</t>
  </si>
  <si>
    <t>190320800000</t>
  </si>
  <si>
    <t>Coxsackie</t>
  </si>
  <si>
    <t>330320900000</t>
  </si>
  <si>
    <t>Crawford</t>
  </si>
  <si>
    <t>230321000000</t>
  </si>
  <si>
    <t>Croghan</t>
  </si>
  <si>
    <t>Lewis</t>
  </si>
  <si>
    <t>150321100000</t>
  </si>
  <si>
    <t>Crown Point</t>
  </si>
  <si>
    <t>020321200000</t>
  </si>
  <si>
    <t>Cuba</t>
  </si>
  <si>
    <t>110321300000</t>
  </si>
  <si>
    <t>Cuyler</t>
  </si>
  <si>
    <t>500321400000</t>
  </si>
  <si>
    <t>Danby</t>
  </si>
  <si>
    <t>090321500000</t>
  </si>
  <si>
    <t>Dannemora</t>
  </si>
  <si>
    <t>460321600000</t>
  </si>
  <si>
    <t>Dansville</t>
  </si>
  <si>
    <t>210321700000</t>
  </si>
  <si>
    <t>Danube</t>
  </si>
  <si>
    <t>180321800000</t>
  </si>
  <si>
    <t>Darien</t>
  </si>
  <si>
    <t>120321900000</t>
  </si>
  <si>
    <t>Davenport</t>
  </si>
  <si>
    <t>410322000000</t>
  </si>
  <si>
    <t>Day</t>
  </si>
  <si>
    <t>040322100000</t>
  </si>
  <si>
    <t>Dayton</t>
  </si>
  <si>
    <t>400322500000</t>
  </si>
  <si>
    <t>De Kalb</t>
  </si>
  <si>
    <t>400323000000</t>
  </si>
  <si>
    <t>De Peyster</t>
  </si>
  <si>
    <t>250323200000</t>
  </si>
  <si>
    <t>De Ruyter</t>
  </si>
  <si>
    <t>310323300000</t>
  </si>
  <si>
    <t>DeWitt</t>
  </si>
  <si>
    <t>360322200000</t>
  </si>
  <si>
    <t>Decatur</t>
  </si>
  <si>
    <t>300322300000</t>
  </si>
  <si>
    <t>Deerfield</t>
  </si>
  <si>
    <t>330322400000</t>
  </si>
  <si>
    <t>Deerpark</t>
  </si>
  <si>
    <t>480322600000</t>
  </si>
  <si>
    <t>120322700000</t>
  </si>
  <si>
    <t>Delhi</t>
  </si>
  <si>
    <t>230322800000</t>
  </si>
  <si>
    <t>Denmark</t>
  </si>
  <si>
    <t>510322900000</t>
  </si>
  <si>
    <t>Denning</t>
  </si>
  <si>
    <t>120323100000</t>
  </si>
  <si>
    <t>Deposit</t>
  </si>
  <si>
    <t>230323400000</t>
  </si>
  <si>
    <t>Diana</t>
  </si>
  <si>
    <t>030323500000</t>
  </si>
  <si>
    <t>Dickinson</t>
  </si>
  <si>
    <t>160323600000</t>
  </si>
  <si>
    <t>440323700000</t>
  </si>
  <si>
    <t>Dix</t>
  </si>
  <si>
    <t>130323800000</t>
  </si>
  <si>
    <t>Dover</t>
  </si>
  <si>
    <t>530323900000</t>
  </si>
  <si>
    <t>Dresden</t>
  </si>
  <si>
    <t>500324000000</t>
  </si>
  <si>
    <t>Dryden</t>
  </si>
  <si>
    <t>160324100000</t>
  </si>
  <si>
    <t>Duane</t>
  </si>
  <si>
    <t>420324200000</t>
  </si>
  <si>
    <t>Duanesburg</t>
  </si>
  <si>
    <t>060324300000</t>
  </si>
  <si>
    <t>190324400000</t>
  </si>
  <si>
    <t>Durham</t>
  </si>
  <si>
    <t>560324500000</t>
  </si>
  <si>
    <t>Eagle</t>
  </si>
  <si>
    <t>320324600000</t>
  </si>
  <si>
    <t>East Bloomfield</t>
  </si>
  <si>
    <t>130324800000</t>
  </si>
  <si>
    <t>East Fishkill</t>
  </si>
  <si>
    <t>380324900000</t>
  </si>
  <si>
    <t>East Greenbush</t>
  </si>
  <si>
    <t>470325000000</t>
  </si>
  <si>
    <t>East Hampton</t>
  </si>
  <si>
    <t>040325200000</t>
  </si>
  <si>
    <t>East Otto</t>
  </si>
  <si>
    <t>260325250000</t>
  </si>
  <si>
    <t>East Rochester</t>
  </si>
  <si>
    <t>550324700000</t>
  </si>
  <si>
    <t>Eastchester</t>
  </si>
  <si>
    <t>530325100000</t>
  </si>
  <si>
    <t>Easton</t>
  </si>
  <si>
    <t>250325300000</t>
  </si>
  <si>
    <t>Eaton</t>
  </si>
  <si>
    <t>140325400000</t>
  </si>
  <si>
    <t>Eden</t>
  </si>
  <si>
    <t>410325500000</t>
  </si>
  <si>
    <t>Edinburg</t>
  </si>
  <si>
    <t>360325600000</t>
  </si>
  <si>
    <t>Edmeston</t>
  </si>
  <si>
    <t>400325700000</t>
  </si>
  <si>
    <t>Edwards</t>
  </si>
  <si>
    <t>180325800000</t>
  </si>
  <si>
    <t>Elba</t>
  </si>
  <si>
    <t>310325900000</t>
  </si>
  <si>
    <t>Elbridge</t>
  </si>
  <si>
    <t>150326000000</t>
  </si>
  <si>
    <t>Elizabethtown</t>
  </si>
  <si>
    <t>090326200000</t>
  </si>
  <si>
    <t>Ellenburg</t>
  </si>
  <si>
    <t>060326300000</t>
  </si>
  <si>
    <t>Ellery</t>
  </si>
  <si>
    <t>060326400000</t>
  </si>
  <si>
    <t>Ellicott</t>
  </si>
  <si>
    <t>040326500000</t>
  </si>
  <si>
    <t>Ellicottville</t>
  </si>
  <si>
    <t>060326600000</t>
  </si>
  <si>
    <t>Ellington</t>
  </si>
  <si>
    <t>220326700000</t>
  </si>
  <si>
    <t>Ellisburg</t>
  </si>
  <si>
    <t>140326800000</t>
  </si>
  <si>
    <t>Elma</t>
  </si>
  <si>
    <t>070326900000</t>
  </si>
  <si>
    <t>500327000000</t>
  </si>
  <si>
    <t>Enfield</t>
  </si>
  <si>
    <t>170327100000</t>
  </si>
  <si>
    <t>Ephratah</t>
  </si>
  <si>
    <t>070327200000</t>
  </si>
  <si>
    <t>Erin</t>
  </si>
  <si>
    <t>460327300000</t>
  </si>
  <si>
    <t>Erwin</t>
  </si>
  <si>
    <t>510327400000</t>
  </si>
  <si>
    <t>Esopus</t>
  </si>
  <si>
    <t>430327500000</t>
  </si>
  <si>
    <t>Esperance</t>
  </si>
  <si>
    <t>150327600000</t>
  </si>
  <si>
    <t>140327700000</t>
  </si>
  <si>
    <t>Evans</t>
  </si>
  <si>
    <t>360327800000</t>
  </si>
  <si>
    <t>Exeter</t>
  </si>
  <si>
    <t>310327900000</t>
  </si>
  <si>
    <t>Fabius</t>
  </si>
  <si>
    <t>210328000000</t>
  </si>
  <si>
    <t>Fairfield</t>
  </si>
  <si>
    <t>480328100000</t>
  </si>
  <si>
    <t>Fallsburg</t>
  </si>
  <si>
    <t>040328200000</t>
  </si>
  <si>
    <t>Farmersville</t>
  </si>
  <si>
    <t>320328300000</t>
  </si>
  <si>
    <t>Farmington</t>
  </si>
  <si>
    <t>450328400000</t>
  </si>
  <si>
    <t>Fayette</t>
  </si>
  <si>
    <t>250328500000</t>
  </si>
  <si>
    <t>Fenner</t>
  </si>
  <si>
    <t>030328600000</t>
  </si>
  <si>
    <t>Fenton</t>
  </si>
  <si>
    <t>400328700000</t>
  </si>
  <si>
    <t>Fine</t>
  </si>
  <si>
    <t>130328800000</t>
  </si>
  <si>
    <t>Fishkill</t>
  </si>
  <si>
    <t>050328900000</t>
  </si>
  <si>
    <t>Fleming</t>
  </si>
  <si>
    <t>300329000000</t>
  </si>
  <si>
    <t>Florence</t>
  </si>
  <si>
    <t>270329100000</t>
  </si>
  <si>
    <t>Florida</t>
  </si>
  <si>
    <t>300329200000</t>
  </si>
  <si>
    <t>Floyd</t>
  </si>
  <si>
    <t>480329300000</t>
  </si>
  <si>
    <t>Forestburgh</t>
  </si>
  <si>
    <t>300329400000</t>
  </si>
  <si>
    <t>Forestport</t>
  </si>
  <si>
    <t>530329500000</t>
  </si>
  <si>
    <t>Fort Ann</t>
  </si>
  <si>
    <t>160329600000</t>
  </si>
  <si>
    <t>Fort Covington</t>
  </si>
  <si>
    <t>530329700000</t>
  </si>
  <si>
    <t>Fort Edward</t>
  </si>
  <si>
    <t>400329800000</t>
  </si>
  <si>
    <t>Fowler</t>
  </si>
  <si>
    <t>210329900000</t>
  </si>
  <si>
    <t>Frankfort</t>
  </si>
  <si>
    <t>120330000000</t>
  </si>
  <si>
    <t>160330100000</t>
  </si>
  <si>
    <t>040330200000</t>
  </si>
  <si>
    <t>Franklinville</t>
  </si>
  <si>
    <t>040330300000</t>
  </si>
  <si>
    <t>Freedom</t>
  </si>
  <si>
    <t>110330600000</t>
  </si>
  <si>
    <t>Freetown</t>
  </si>
  <si>
    <t>460330400000</t>
  </si>
  <si>
    <t>Fremont</t>
  </si>
  <si>
    <t>480330500000</t>
  </si>
  <si>
    <t>060330700000</t>
  </si>
  <si>
    <t>French Creek</t>
  </si>
  <si>
    <t>020330800000</t>
  </si>
  <si>
    <t>Friendship</t>
  </si>
  <si>
    <t>430330900000</t>
  </si>
  <si>
    <t>340331000000</t>
  </si>
  <si>
    <t>Gaines</t>
  </si>
  <si>
    <t>560331100000</t>
  </si>
  <si>
    <t>Gainesville</t>
  </si>
  <si>
    <t>540331200000</t>
  </si>
  <si>
    <t>Galen</t>
  </si>
  <si>
    <t>100331300000</t>
  </si>
  <si>
    <t>Gallatin</t>
  </si>
  <si>
    <t>410331400000</t>
  </si>
  <si>
    <t>Galway</t>
  </si>
  <si>
    <t>510331500000</t>
  </si>
  <si>
    <t>Gardiner</t>
  </si>
  <si>
    <t>260331600000</t>
  </si>
  <si>
    <t>Gates</t>
  </si>
  <si>
    <t>310331700000</t>
  </si>
  <si>
    <t>Geddes</t>
  </si>
  <si>
    <t>020331800000</t>
  </si>
  <si>
    <t>560331900000</t>
  </si>
  <si>
    <t>Genesee Falls</t>
  </si>
  <si>
    <t>240332000000</t>
  </si>
  <si>
    <t>Geneseo</t>
  </si>
  <si>
    <t>320332100000</t>
  </si>
  <si>
    <t>050332200000</t>
  </si>
  <si>
    <t>Genoa</t>
  </si>
  <si>
    <t>250332300000</t>
  </si>
  <si>
    <t>Georgetown</t>
  </si>
  <si>
    <t>080332400000</t>
  </si>
  <si>
    <t>German</t>
  </si>
  <si>
    <t>210332500000</t>
  </si>
  <si>
    <t>German Flatts</t>
  </si>
  <si>
    <t>100332600000</t>
  </si>
  <si>
    <t>Germantown</t>
  </si>
  <si>
    <t>060332700000</t>
  </si>
  <si>
    <t>Gerry</t>
  </si>
  <si>
    <t>100332800000</t>
  </si>
  <si>
    <t>Ghent</t>
  </si>
  <si>
    <t>430332900000</t>
  </si>
  <si>
    <t>Gilboa</t>
  </si>
  <si>
    <t>270333000000</t>
  </si>
  <si>
    <t>Glen</t>
  </si>
  <si>
    <t>420333100000</t>
  </si>
  <si>
    <t>Glenville</t>
  </si>
  <si>
    <t>320333200000</t>
  </si>
  <si>
    <t>Gorham</t>
  </si>
  <si>
    <t>330333300000</t>
  </si>
  <si>
    <t>Goshen</t>
  </si>
  <si>
    <t>400333400000</t>
  </si>
  <si>
    <t>Gouverneur</t>
  </si>
  <si>
    <t>380333500000</t>
  </si>
  <si>
    <t>Grafton</t>
  </si>
  <si>
    <t>350333600000</t>
  </si>
  <si>
    <t>Granby</t>
  </si>
  <si>
    <t>140333700000</t>
  </si>
  <si>
    <t>Grand Island</t>
  </si>
  <si>
    <t>020333800000</t>
  </si>
  <si>
    <t>Granger</t>
  </si>
  <si>
    <t>530333900000</t>
  </si>
  <si>
    <t>Granville</t>
  </si>
  <si>
    <t>040334000000</t>
  </si>
  <si>
    <t>Great Valley</t>
  </si>
  <si>
    <t>260334100000</t>
  </si>
  <si>
    <t>Greece</t>
  </si>
  <si>
    <t>010334500000</t>
  </si>
  <si>
    <t>Green Island</t>
  </si>
  <si>
    <t>550334200000</t>
  </si>
  <si>
    <t>Greenburgh</t>
  </si>
  <si>
    <t>080334300000</t>
  </si>
  <si>
    <t>410334400000</t>
  </si>
  <si>
    <t>Greenfield</t>
  </si>
  <si>
    <t>100334600000</t>
  </si>
  <si>
    <t>Greenport</t>
  </si>
  <si>
    <t>190334700000</t>
  </si>
  <si>
    <t>Greenville</t>
  </si>
  <si>
    <t>330334800000</t>
  </si>
  <si>
    <t>530334900000</t>
  </si>
  <si>
    <t>Greenwich</t>
  </si>
  <si>
    <t>460335000000</t>
  </si>
  <si>
    <t>Greenwood</t>
  </si>
  <si>
    <t>230335100000</t>
  </si>
  <si>
    <t>Greig</t>
  </si>
  <si>
    <t>500335200000</t>
  </si>
  <si>
    <t>Groton</t>
  </si>
  <si>
    <t>020335300000</t>
  </si>
  <si>
    <t>Grove</t>
  </si>
  <si>
    <t>240335400000</t>
  </si>
  <si>
    <t>Groveland</t>
  </si>
  <si>
    <t>010335500000</t>
  </si>
  <si>
    <t>Guilderland</t>
  </si>
  <si>
    <t>080335600000</t>
  </si>
  <si>
    <t>Guilford</t>
  </si>
  <si>
    <t>410335700000</t>
  </si>
  <si>
    <t>Hadley</t>
  </si>
  <si>
    <t>520335800000</t>
  </si>
  <si>
    <t>Hague</t>
  </si>
  <si>
    <t>190335900000</t>
  </si>
  <si>
    <t>Halcott</t>
  </si>
  <si>
    <t>410336000000</t>
  </si>
  <si>
    <t>Halfmoon</t>
  </si>
  <si>
    <t>140336100000</t>
  </si>
  <si>
    <t>Hamburg</t>
  </si>
  <si>
    <t>120336200000</t>
  </si>
  <si>
    <t>Hamden</t>
  </si>
  <si>
    <t>250336300000</t>
  </si>
  <si>
    <t>260336400000</t>
  </si>
  <si>
    <t>Hamlin</t>
  </si>
  <si>
    <t>400336500000</t>
  </si>
  <si>
    <t>Hammond</t>
  </si>
  <si>
    <t>530336600000</t>
  </si>
  <si>
    <t>Hampton</t>
  </si>
  <si>
    <t>330336700000</t>
  </si>
  <si>
    <t>Hamptonburgh</t>
  </si>
  <si>
    <t>120336800000</t>
  </si>
  <si>
    <t>Hancock</t>
  </si>
  <si>
    <t>350336900000</t>
  </si>
  <si>
    <t>Hannibal</t>
  </si>
  <si>
    <t>060337000000</t>
  </si>
  <si>
    <t>Hanover</t>
  </si>
  <si>
    <t>510337100000</t>
  </si>
  <si>
    <t>Hardenburgh</t>
  </si>
  <si>
    <t>110337200000</t>
  </si>
  <si>
    <t>Harford</t>
  </si>
  <si>
    <t>060337300000</t>
  </si>
  <si>
    <t>Harmony</t>
  </si>
  <si>
    <t>120337400000</t>
  </si>
  <si>
    <t>Harpersfield</t>
  </si>
  <si>
    <t>160337500000</t>
  </si>
  <si>
    <t>Harrietstown</t>
  </si>
  <si>
    <t>230337600000</t>
  </si>
  <si>
    <t>Harrisburg</t>
  </si>
  <si>
    <t>550337700000</t>
  </si>
  <si>
    <t>Harrison</t>
  </si>
  <si>
    <t>530337800000</t>
  </si>
  <si>
    <t>Hartford</t>
  </si>
  <si>
    <t>290337900000</t>
  </si>
  <si>
    <t>Hartland</t>
  </si>
  <si>
    <t>460338000000</t>
  </si>
  <si>
    <t>Hartsville</t>
  </si>
  <si>
    <t>360338100000</t>
  </si>
  <si>
    <t>Hartwick</t>
  </si>
  <si>
    <t>350338200000</t>
  </si>
  <si>
    <t>Hastings</t>
  </si>
  <si>
    <t>390338300000</t>
  </si>
  <si>
    <t>Haverstraw</t>
  </si>
  <si>
    <t>530338400000</t>
  </si>
  <si>
    <t>Hebron</t>
  </si>
  <si>
    <t>440338500000</t>
  </si>
  <si>
    <t>Hector</t>
  </si>
  <si>
    <t>280338600000</t>
  </si>
  <si>
    <t>Hempstead</t>
  </si>
  <si>
    <t>220338700000</t>
  </si>
  <si>
    <t>Henderson</t>
  </si>
  <si>
    <t>260338800000</t>
  </si>
  <si>
    <t>Henrietta</t>
  </si>
  <si>
    <t>210338900000</t>
  </si>
  <si>
    <t>400339000000</t>
  </si>
  <si>
    <t>Hermon</t>
  </si>
  <si>
    <t>480339100000</t>
  </si>
  <si>
    <t>Highland</t>
  </si>
  <si>
    <t>330339200000</t>
  </si>
  <si>
    <t>Highlands</t>
  </si>
  <si>
    <t>100339400000</t>
  </si>
  <si>
    <t>Hillsdale</t>
  </si>
  <si>
    <t>040339500000</t>
  </si>
  <si>
    <t>Hinsdale</t>
  </si>
  <si>
    <t>140339600000</t>
  </si>
  <si>
    <t>Holland</t>
  </si>
  <si>
    <t>110339700000</t>
  </si>
  <si>
    <t>Homer</t>
  </si>
  <si>
    <t>380339800000</t>
  </si>
  <si>
    <t>Hoosick</t>
  </si>
  <si>
    <t>200339900000</t>
  </si>
  <si>
    <t>Hope</t>
  </si>
  <si>
    <t>320340000000</t>
  </si>
  <si>
    <t>Hopewell</t>
  </si>
  <si>
    <t>400340100000</t>
  </si>
  <si>
    <t>Hopkinton</t>
  </si>
  <si>
    <t>520340200000</t>
  </si>
  <si>
    <t>Horicon</t>
  </si>
  <si>
    <t>460340300000</t>
  </si>
  <si>
    <t>Hornby</t>
  </si>
  <si>
    <t>460340400000</t>
  </si>
  <si>
    <t>Hornellsville</t>
  </si>
  <si>
    <t>070340500000</t>
  </si>
  <si>
    <t>Horseheads</t>
  </si>
  <si>
    <t>220340600000</t>
  </si>
  <si>
    <t>Hounsfield</t>
  </si>
  <si>
    <t>460340700000</t>
  </si>
  <si>
    <t>Howard</t>
  </si>
  <si>
    <t>020340800000</t>
  </si>
  <si>
    <t>Hume</t>
  </si>
  <si>
    <t>040340900000</t>
  </si>
  <si>
    <t>Humphrey</t>
  </si>
  <si>
    <t>190341000000</t>
  </si>
  <si>
    <t>Hunter</t>
  </si>
  <si>
    <t>470341100000</t>
  </si>
  <si>
    <t>Huntington</t>
  </si>
  <si>
    <t>510341200000</t>
  </si>
  <si>
    <t>Hurley</t>
  </si>
  <si>
    <t>540341300000</t>
  </si>
  <si>
    <t>Huron</t>
  </si>
  <si>
    <t>130341400000</t>
  </si>
  <si>
    <t>Hyde Park</t>
  </si>
  <si>
    <t>020341500000</t>
  </si>
  <si>
    <t>Independence</t>
  </si>
  <si>
    <t>200341600000</t>
  </si>
  <si>
    <t>Indian Lake</t>
  </si>
  <si>
    <t>200341700000</t>
  </si>
  <si>
    <t>Inlet</t>
  </si>
  <si>
    <t>050341800000</t>
  </si>
  <si>
    <t>Ira</t>
  </si>
  <si>
    <t>260341900000</t>
  </si>
  <si>
    <t>Irondequoit</t>
  </si>
  <si>
    <t>040342000000</t>
  </si>
  <si>
    <t>Ischua</t>
  </si>
  <si>
    <t>470342100000</t>
  </si>
  <si>
    <t>Islip</t>
  </si>
  <si>
    <t>570342200000</t>
  </si>
  <si>
    <t>Italy</t>
  </si>
  <si>
    <t>500342300000</t>
  </si>
  <si>
    <t>530342400000</t>
  </si>
  <si>
    <t>Jackson</t>
  </si>
  <si>
    <t>460342500000</t>
  </si>
  <si>
    <t>Jasper</t>
  </si>
  <si>
    <t>560342600000</t>
  </si>
  <si>
    <t>Java</t>
  </si>
  <si>
    <t>150342700000</t>
  </si>
  <si>
    <t>Jay</t>
  </si>
  <si>
    <t>430342800000</t>
  </si>
  <si>
    <t>570342900000</t>
  </si>
  <si>
    <t>Jerusalem</t>
  </si>
  <si>
    <t>190343000000</t>
  </si>
  <si>
    <t>Jewett</t>
  </si>
  <si>
    <t>520343100000</t>
  </si>
  <si>
    <t>Johnsburg</t>
  </si>
  <si>
    <t>170343200000</t>
  </si>
  <si>
    <t>450343300000</t>
  </si>
  <si>
    <t>Junius</t>
  </si>
  <si>
    <t>150343400000</t>
  </si>
  <si>
    <t>Keene</t>
  </si>
  <si>
    <t>340343500000</t>
  </si>
  <si>
    <t>Kendall</t>
  </si>
  <si>
    <t>370343600000</t>
  </si>
  <si>
    <t>Kent</t>
  </si>
  <si>
    <t>060343700000</t>
  </si>
  <si>
    <t>Kiantone</t>
  </si>
  <si>
    <t>100343800000</t>
  </si>
  <si>
    <t>Kinderhook</t>
  </si>
  <si>
    <t>530343900000</t>
  </si>
  <si>
    <t>Kingsbury</t>
  </si>
  <si>
    <t>510344000000</t>
  </si>
  <si>
    <t>300344100000</t>
  </si>
  <si>
    <t>Kirkland</t>
  </si>
  <si>
    <t>030344200000</t>
  </si>
  <si>
    <t>Kirkwood</t>
  </si>
  <si>
    <t>010344300000</t>
  </si>
  <si>
    <t>Knox</t>
  </si>
  <si>
    <t>120344400000</t>
  </si>
  <si>
    <t>Kortright</t>
  </si>
  <si>
    <t>130344600000</t>
  </si>
  <si>
    <t>La Grange</t>
  </si>
  <si>
    <t>310344500000</t>
  </si>
  <si>
    <t>LaFayette</t>
  </si>
  <si>
    <t>520344630000</t>
  </si>
  <si>
    <t>Lake George</t>
  </si>
  <si>
    <t>520344660000</t>
  </si>
  <si>
    <t>Lake Luzerne</t>
  </si>
  <si>
    <t>200344700000</t>
  </si>
  <si>
    <t>Lake Pleasant</t>
  </si>
  <si>
    <t>140344800000</t>
  </si>
  <si>
    <t>Lancaster</t>
  </si>
  <si>
    <t>500344900000</t>
  </si>
  <si>
    <t>Lansing</t>
  </si>
  <si>
    <t>110345000000</t>
  </si>
  <si>
    <t>Lapeer</t>
  </si>
  <si>
    <t>360345100000</t>
  </si>
  <si>
    <t>Laurens</t>
  </si>
  <si>
    <t>400345200000</t>
  </si>
  <si>
    <t>Lawrence</t>
  </si>
  <si>
    <t>220345900000</t>
  </si>
  <si>
    <t>Le Ray</t>
  </si>
  <si>
    <t>180346000000</t>
  </si>
  <si>
    <t>Le Roy</t>
  </si>
  <si>
    <t>250345300000</t>
  </si>
  <si>
    <t>Lebanon</t>
  </si>
  <si>
    <t>050345400000</t>
  </si>
  <si>
    <t>Ledyard</t>
  </si>
  <si>
    <t>300345500000</t>
  </si>
  <si>
    <t>Lee</t>
  </si>
  <si>
    <t>240345600000</t>
  </si>
  <si>
    <t>Leicester</t>
  </si>
  <si>
    <t>250345700000</t>
  </si>
  <si>
    <t>Lenox</t>
  </si>
  <si>
    <t>040345800000</t>
  </si>
  <si>
    <t>Leon</t>
  </si>
  <si>
    <t>150346100000</t>
  </si>
  <si>
    <t>230346200000</t>
  </si>
  <si>
    <t>550346300000</t>
  </si>
  <si>
    <t>Lewisboro</t>
  </si>
  <si>
    <t>290346400000</t>
  </si>
  <si>
    <t>Lewiston</t>
  </si>
  <si>
    <t>190346500000</t>
  </si>
  <si>
    <t>Lexington</t>
  </si>
  <si>
    <t>230346600000</t>
  </si>
  <si>
    <t>Leyden</t>
  </si>
  <si>
    <t>480346700000</t>
  </si>
  <si>
    <t>Liberty</t>
  </si>
  <si>
    <t>240346800000</t>
  </si>
  <si>
    <t>Lima</t>
  </si>
  <si>
    <t>080346900000</t>
  </si>
  <si>
    <t>Lincklaen</t>
  </si>
  <si>
    <t>250347000000</t>
  </si>
  <si>
    <t>Lincoln</t>
  </si>
  <si>
    <t>460347100000</t>
  </si>
  <si>
    <t>Lindley</t>
  </si>
  <si>
    <t>400347200000</t>
  </si>
  <si>
    <t>Lisbon</t>
  </si>
  <si>
    <t>030347300000</t>
  </si>
  <si>
    <t>Lisle</t>
  </si>
  <si>
    <t>210347400000</t>
  </si>
  <si>
    <t>Litchfield</t>
  </si>
  <si>
    <t>210347500000</t>
  </si>
  <si>
    <t>040347600000</t>
  </si>
  <si>
    <t>Little Valley</t>
  </si>
  <si>
    <t>100347700000</t>
  </si>
  <si>
    <t>240347800000</t>
  </si>
  <si>
    <t>Livonia</t>
  </si>
  <si>
    <t>510347900000</t>
  </si>
  <si>
    <t>Lloyd</t>
  </si>
  <si>
    <t>050348000000</t>
  </si>
  <si>
    <t>Locke</t>
  </si>
  <si>
    <t>290348100000</t>
  </si>
  <si>
    <t>450348200000</t>
  </si>
  <si>
    <t>Lodi</t>
  </si>
  <si>
    <t>200348300000</t>
  </si>
  <si>
    <t>Long Lake</t>
  </si>
  <si>
    <t>220348400000</t>
  </si>
  <si>
    <t>Lorraine</t>
  </si>
  <si>
    <t>400348500000</t>
  </si>
  <si>
    <t>Louisville</t>
  </si>
  <si>
    <t>230348600000</t>
  </si>
  <si>
    <t>Lowville</t>
  </si>
  <si>
    <t>480348700000</t>
  </si>
  <si>
    <t>Lumberland</t>
  </si>
  <si>
    <t>220348900000</t>
  </si>
  <si>
    <t>Lyme</t>
  </si>
  <si>
    <t>040349000000</t>
  </si>
  <si>
    <t>Lyndon</t>
  </si>
  <si>
    <t>540349100000</t>
  </si>
  <si>
    <t>Lyons</t>
  </si>
  <si>
    <t>230349200000</t>
  </si>
  <si>
    <t>Lyonsdale</t>
  </si>
  <si>
    <t>310349300000</t>
  </si>
  <si>
    <t>Lysander</t>
  </si>
  <si>
    <t>540349400000</t>
  </si>
  <si>
    <t>Macedon</t>
  </si>
  <si>
    <t>040349500000</t>
  </si>
  <si>
    <t>Machias</t>
  </si>
  <si>
    <t>400349600000</t>
  </si>
  <si>
    <t>Macomb</t>
  </si>
  <si>
    <t>250349700000</t>
  </si>
  <si>
    <t>400349800000</t>
  </si>
  <si>
    <t>Madrid</t>
  </si>
  <si>
    <t>030349900000</t>
  </si>
  <si>
    <t>Maine</t>
  </si>
  <si>
    <t>160350000000</t>
  </si>
  <si>
    <t>Malone</t>
  </si>
  <si>
    <t>410350100000</t>
  </si>
  <si>
    <t>Malta</t>
  </si>
  <si>
    <t>480350200000</t>
  </si>
  <si>
    <t>Mamakating</t>
  </si>
  <si>
    <t>550350300000</t>
  </si>
  <si>
    <t>Mamaroneck</t>
  </si>
  <si>
    <t>320350400000</t>
  </si>
  <si>
    <t>Manchester</t>
  </si>
  <si>
    <t>210350500000</t>
  </si>
  <si>
    <t>Manheim</t>
  </si>
  <si>
    <t>310350600000</t>
  </si>
  <si>
    <t>Manlius</t>
  </si>
  <si>
    <t>040350700000</t>
  </si>
  <si>
    <t>Mansfield</t>
  </si>
  <si>
    <t>110350800000</t>
  </si>
  <si>
    <t>Marathon</t>
  </si>
  <si>
    <t>510350900000</t>
  </si>
  <si>
    <t>Marbletown</t>
  </si>
  <si>
    <t>310351000000</t>
  </si>
  <si>
    <t>Marcellus</t>
  </si>
  <si>
    <t>300351100000</t>
  </si>
  <si>
    <t>Marcy</t>
  </si>
  <si>
    <t>140351200000</t>
  </si>
  <si>
    <t>Marilla</t>
  </si>
  <si>
    <t>540351300000</t>
  </si>
  <si>
    <t>Marion</t>
  </si>
  <si>
    <t>510351400000</t>
  </si>
  <si>
    <t>Marlborough</t>
  </si>
  <si>
    <t>300351500000</t>
  </si>
  <si>
    <t>Marshall</t>
  </si>
  <si>
    <t>230351600000</t>
  </si>
  <si>
    <t>Martinsburg</t>
  </si>
  <si>
    <t>360351700000</t>
  </si>
  <si>
    <t>Maryland</t>
  </si>
  <si>
    <t>120351800000</t>
  </si>
  <si>
    <t>Masonville</t>
  </si>
  <si>
    <t>400351900000</t>
  </si>
  <si>
    <t>Massena</t>
  </si>
  <si>
    <t>170352000000</t>
  </si>
  <si>
    <t>Mayfield</t>
  </si>
  <si>
    <t>080352100000</t>
  </si>
  <si>
    <t>Mc Donough</t>
  </si>
  <si>
    <t>260352200000</t>
  </si>
  <si>
    <t>Mendon</t>
  </si>
  <si>
    <t>050352300000</t>
  </si>
  <si>
    <t>Mentz</t>
  </si>
  <si>
    <t>120352400000</t>
  </si>
  <si>
    <t>Meredith</t>
  </si>
  <si>
    <t>350352500000</t>
  </si>
  <si>
    <t>Mexico</t>
  </si>
  <si>
    <t>430352600000</t>
  </si>
  <si>
    <t>Middleburgh</t>
  </si>
  <si>
    <t>560352700000</t>
  </si>
  <si>
    <t>Middlebury</t>
  </si>
  <si>
    <t>360352800000</t>
  </si>
  <si>
    <t>Middlefield</t>
  </si>
  <si>
    <t>570352900000</t>
  </si>
  <si>
    <t>Middlesex</t>
  </si>
  <si>
    <t>120353000000</t>
  </si>
  <si>
    <t>130353100000</t>
  </si>
  <si>
    <t>Milan</t>
  </si>
  <si>
    <t>360353200000</t>
  </si>
  <si>
    <t>Milford</t>
  </si>
  <si>
    <t>570353300000</t>
  </si>
  <si>
    <t>Milo</t>
  </si>
  <si>
    <t>410353400000</t>
  </si>
  <si>
    <t>Milton</t>
  </si>
  <si>
    <t>060353500000</t>
  </si>
  <si>
    <t>Mina</t>
  </si>
  <si>
    <t>270353600000</t>
  </si>
  <si>
    <t>Minden</t>
  </si>
  <si>
    <t>150353700000</t>
  </si>
  <si>
    <t>Minerva</t>
  </si>
  <si>
    <t>350353800000</t>
  </si>
  <si>
    <t>Minetto</t>
  </si>
  <si>
    <t>330353900000</t>
  </si>
  <si>
    <t>Minisink</t>
  </si>
  <si>
    <t>270354000000</t>
  </si>
  <si>
    <t>Mohawk</t>
  </si>
  <si>
    <t>160354100000</t>
  </si>
  <si>
    <t>Moira</t>
  </si>
  <si>
    <t>330354200000</t>
  </si>
  <si>
    <t>230354300000</t>
  </si>
  <si>
    <t>Montague</t>
  </si>
  <si>
    <t>050354400000</t>
  </si>
  <si>
    <t>Montezuma</t>
  </si>
  <si>
    <t>330354500000</t>
  </si>
  <si>
    <t>440354600000</t>
  </si>
  <si>
    <t>Montour</t>
  </si>
  <si>
    <t>090354700000</t>
  </si>
  <si>
    <t>Mooers</t>
  </si>
  <si>
    <t>050354800000</t>
  </si>
  <si>
    <t>Moravia</t>
  </si>
  <si>
    <t>410354900000</t>
  </si>
  <si>
    <t>Moreau</t>
  </si>
  <si>
    <t>200355000000</t>
  </si>
  <si>
    <t>Morehouse</t>
  </si>
  <si>
    <t>150355100000</t>
  </si>
  <si>
    <t>Moriah</t>
  </si>
  <si>
    <t>360355200000</t>
  </si>
  <si>
    <t>Morris</t>
  </si>
  <si>
    <t>400355300000</t>
  </si>
  <si>
    <t>Morristown</t>
  </si>
  <si>
    <t>330355400000</t>
  </si>
  <si>
    <t>Mount Hope</t>
  </si>
  <si>
    <t>550355450000</t>
  </si>
  <si>
    <t>Mount Kisco</t>
  </si>
  <si>
    <t>240355500000</t>
  </si>
  <si>
    <t>Mount Morris</t>
  </si>
  <si>
    <t>550355600000</t>
  </si>
  <si>
    <t>Mount Pleasant</t>
  </si>
  <si>
    <t>340355700000</t>
  </si>
  <si>
    <t>Murray</t>
  </si>
  <si>
    <t>030355800000</t>
  </si>
  <si>
    <t>Nanticoke</t>
  </si>
  <si>
    <t>320355900000</t>
  </si>
  <si>
    <t>Naples</t>
  </si>
  <si>
    <t>040356000000</t>
  </si>
  <si>
    <t>Napoli</t>
  </si>
  <si>
    <t>380356100000</t>
  </si>
  <si>
    <t>250356200000</t>
  </si>
  <si>
    <t>Nelson</t>
  </si>
  <si>
    <t>480356300000</t>
  </si>
  <si>
    <t>Neversink</t>
  </si>
  <si>
    <t>040356400000</t>
  </si>
  <si>
    <t>New Albion</t>
  </si>
  <si>
    <t>190356600000</t>
  </si>
  <si>
    <t>New Baltimore</t>
  </si>
  <si>
    <t>080356700000</t>
  </si>
  <si>
    <t>New Berlin</t>
  </si>
  <si>
    <t>230356800000</t>
  </si>
  <si>
    <t>New Bremen</t>
  </si>
  <si>
    <t>550357000000</t>
  </si>
  <si>
    <t>New Castle</t>
  </si>
  <si>
    <t>300357400000</t>
  </si>
  <si>
    <t>New Hartford</t>
  </si>
  <si>
    <t>350357500000</t>
  </si>
  <si>
    <t>New Haven</t>
  </si>
  <si>
    <t>020357600000</t>
  </si>
  <si>
    <t>New Hudson</t>
  </si>
  <si>
    <t>100357700000</t>
  </si>
  <si>
    <t>New Lebanon</t>
  </si>
  <si>
    <t>360357800000</t>
  </si>
  <si>
    <t>New Lisbon</t>
  </si>
  <si>
    <t>510357900000</t>
  </si>
  <si>
    <t>New Paltz</t>
  </si>
  <si>
    <t>010358100000</t>
  </si>
  <si>
    <t>New Scotland</t>
  </si>
  <si>
    <t>330358300000</t>
  </si>
  <si>
    <t>New Windsor</t>
  </si>
  <si>
    <t>490356500000</t>
  </si>
  <si>
    <t>Newark Valley</t>
  </si>
  <si>
    <t>330356900000</t>
  </si>
  <si>
    <t>150357100000</t>
  </si>
  <si>
    <t>Newcomb</t>
  </si>
  <si>
    <t>290357200000</t>
  </si>
  <si>
    <t>Newfane</t>
  </si>
  <si>
    <t>500357300000</t>
  </si>
  <si>
    <t>Newfield</t>
  </si>
  <si>
    <t>210358000000</t>
  </si>
  <si>
    <t>Newport</t>
  </si>
  <si>
    <t>140358200000</t>
  </si>
  <si>
    <t>Newstead</t>
  </si>
  <si>
    <t>290358400000</t>
  </si>
  <si>
    <t>490358500000</t>
  </si>
  <si>
    <t>Nichols</t>
  </si>
  <si>
    <t>050358600000</t>
  </si>
  <si>
    <t>Niles</t>
  </si>
  <si>
    <t>420358700000</t>
  </si>
  <si>
    <t>Niskayuna</t>
  </si>
  <si>
    <t>400358800000</t>
  </si>
  <si>
    <t>Norfolk</t>
  </si>
  <si>
    <t>550359000000</t>
  </si>
  <si>
    <t>North Castle</t>
  </si>
  <si>
    <t>140359100000</t>
  </si>
  <si>
    <t>North Collins</t>
  </si>
  <si>
    <t>240359200000</t>
  </si>
  <si>
    <t>North Dansville</t>
  </si>
  <si>
    <t>130359300000</t>
  </si>
  <si>
    <t>North East</t>
  </si>
  <si>
    <t>150359400000</t>
  </si>
  <si>
    <t>North Elba</t>
  </si>
  <si>
    <t>380359500000</t>
  </si>
  <si>
    <t>North Greenbush</t>
  </si>
  <si>
    <t>060359600000</t>
  </si>
  <si>
    <t>North Harmony</t>
  </si>
  <si>
    <t>280359700000</t>
  </si>
  <si>
    <t>North Hempstead</t>
  </si>
  <si>
    <t>150359800000</t>
  </si>
  <si>
    <t>North Hudson</t>
  </si>
  <si>
    <t>080359900000</t>
  </si>
  <si>
    <t>North Norwich</t>
  </si>
  <si>
    <t>550360000000</t>
  </si>
  <si>
    <t>North Salem</t>
  </si>
  <si>
    <t>170358900000</t>
  </si>
  <si>
    <t>Northampton</t>
  </si>
  <si>
    <t>410360100000</t>
  </si>
  <si>
    <t>Northumberland</t>
  </si>
  <si>
    <t>210360200000</t>
  </si>
  <si>
    <t>Norway</t>
  </si>
  <si>
    <t>080360300000</t>
  </si>
  <si>
    <t>240360400000</t>
  </si>
  <si>
    <t>Nunda</t>
  </si>
  <si>
    <t>180360500000</t>
  </si>
  <si>
    <t>Oakfield</t>
  </si>
  <si>
    <t>260360600000</t>
  </si>
  <si>
    <t>Ogden</t>
  </si>
  <si>
    <t>210360700000</t>
  </si>
  <si>
    <t>Ohio</t>
  </si>
  <si>
    <t>040360800000</t>
  </si>
  <si>
    <t>510360900000</t>
  </si>
  <si>
    <t>Olive</t>
  </si>
  <si>
    <t>360361000000</t>
  </si>
  <si>
    <t>310361100000</t>
  </si>
  <si>
    <t>540361200000</t>
  </si>
  <si>
    <t>170361300000</t>
  </si>
  <si>
    <t>Oppenheim</t>
  </si>
  <si>
    <t>440361400000</t>
  </si>
  <si>
    <t>390361500000</t>
  </si>
  <si>
    <t>Orangetown</t>
  </si>
  <si>
    <t>560361600000</t>
  </si>
  <si>
    <t>Orangeville</t>
  </si>
  <si>
    <t>140361700000</t>
  </si>
  <si>
    <t>Orchard Park</t>
  </si>
  <si>
    <t>220361800000</t>
  </si>
  <si>
    <t>350361900000</t>
  </si>
  <si>
    <t>Orwell</t>
  </si>
  <si>
    <t>230362000000</t>
  </si>
  <si>
    <t>Osceola</t>
  </si>
  <si>
    <t>240362100000</t>
  </si>
  <si>
    <t>Ossian</t>
  </si>
  <si>
    <t>550362200000</t>
  </si>
  <si>
    <t>Ossining</t>
  </si>
  <si>
    <t>400362300000</t>
  </si>
  <si>
    <t>Oswegatchie</t>
  </si>
  <si>
    <t>350362400000</t>
  </si>
  <si>
    <t>360362500000</t>
  </si>
  <si>
    <t>Otego</t>
  </si>
  <si>
    <t>310362600000</t>
  </si>
  <si>
    <t>Otisco</t>
  </si>
  <si>
    <t>360362700000</t>
  </si>
  <si>
    <t>080362800000</t>
  </si>
  <si>
    <t>Otselic</t>
  </si>
  <si>
    <t>040362900000</t>
  </si>
  <si>
    <t>Otto</t>
  </si>
  <si>
    <t>450363000000</t>
  </si>
  <si>
    <t>Ovid</t>
  </si>
  <si>
    <t>050363100000</t>
  </si>
  <si>
    <t>Owasco</t>
  </si>
  <si>
    <t>490363200000</t>
  </si>
  <si>
    <t>Owego</t>
  </si>
  <si>
    <t>080363300000</t>
  </si>
  <si>
    <t>Oxford</t>
  </si>
  <si>
    <t>280363400000</t>
  </si>
  <si>
    <t>Oyster Bay</t>
  </si>
  <si>
    <t>270363500000</t>
  </si>
  <si>
    <t>Palatine</t>
  </si>
  <si>
    <t>350363600000</t>
  </si>
  <si>
    <t>Palermo</t>
  </si>
  <si>
    <t>330363650000</t>
  </si>
  <si>
    <t>Palm Tree</t>
  </si>
  <si>
    <t>540363700000</t>
  </si>
  <si>
    <t>Palmyra</t>
  </si>
  <si>
    <t>220363800000</t>
  </si>
  <si>
    <t>Pamelia</t>
  </si>
  <si>
    <t>300363900000</t>
  </si>
  <si>
    <t>Paris</t>
  </si>
  <si>
    <t>350364000000</t>
  </si>
  <si>
    <t>Parish</t>
  </si>
  <si>
    <t>400364100000</t>
  </si>
  <si>
    <t>Parishville</t>
  </si>
  <si>
    <t>260364200000</t>
  </si>
  <si>
    <t>Parma</t>
  </si>
  <si>
    <t>370364300000</t>
  </si>
  <si>
    <t>Patterson</t>
  </si>
  <si>
    <t>180364400000</t>
  </si>
  <si>
    <t>Pavilion</t>
  </si>
  <si>
    <t>130364500000</t>
  </si>
  <si>
    <t>Pawling</t>
  </si>
  <si>
    <t>550364600000</t>
  </si>
  <si>
    <t>Pelham</t>
  </si>
  <si>
    <t>180364700000</t>
  </si>
  <si>
    <t>Pembroke</t>
  </si>
  <si>
    <t>290364800000</t>
  </si>
  <si>
    <t>Pendleton</t>
  </si>
  <si>
    <t>260364900000</t>
  </si>
  <si>
    <t>Penfield</t>
  </si>
  <si>
    <t>260365000000</t>
  </si>
  <si>
    <t>Perinton</t>
  </si>
  <si>
    <t>560365100000</t>
  </si>
  <si>
    <t>Perry</t>
  </si>
  <si>
    <t>040365200000</t>
  </si>
  <si>
    <t>Perrysburg</t>
  </si>
  <si>
    <t>040365300000</t>
  </si>
  <si>
    <t>Persia</t>
  </si>
  <si>
    <t>170365400000</t>
  </si>
  <si>
    <t>Perth</t>
  </si>
  <si>
    <t>090365500000</t>
  </si>
  <si>
    <t>Peru</t>
  </si>
  <si>
    <t>380365600000</t>
  </si>
  <si>
    <t>Petersburgh</t>
  </si>
  <si>
    <t>080365700000</t>
  </si>
  <si>
    <t>Pharsalia</t>
  </si>
  <si>
    <t>320365800000</t>
  </si>
  <si>
    <t>Phelps</t>
  </si>
  <si>
    <t>220365900000</t>
  </si>
  <si>
    <t>Philadelphia</t>
  </si>
  <si>
    <t>370366000000</t>
  </si>
  <si>
    <t>Philipstown</t>
  </si>
  <si>
    <t>400366100000</t>
  </si>
  <si>
    <t>Piercefield</t>
  </si>
  <si>
    <t>400366200000</t>
  </si>
  <si>
    <t>Pierrepont</t>
  </si>
  <si>
    <t>560366300000</t>
  </si>
  <si>
    <t>Pike</t>
  </si>
  <si>
    <t>230366400000</t>
  </si>
  <si>
    <t>Pinckney</t>
  </si>
  <si>
    <t>130366500000</t>
  </si>
  <si>
    <t>Pine Plains</t>
  </si>
  <si>
    <t>400366600000</t>
  </si>
  <si>
    <t>Pitcairn</t>
  </si>
  <si>
    <t>080366700000</t>
  </si>
  <si>
    <t>Pitcher</t>
  </si>
  <si>
    <t>360366800000</t>
  </si>
  <si>
    <t>Pittsfield</t>
  </si>
  <si>
    <t>260366900000</t>
  </si>
  <si>
    <t>Pittsford</t>
  </si>
  <si>
    <t>380367000000</t>
  </si>
  <si>
    <t>Pittstown</t>
  </si>
  <si>
    <t>360367100000</t>
  </si>
  <si>
    <t>Plainfield</t>
  </si>
  <si>
    <t>510367200000</t>
  </si>
  <si>
    <t>Plattekill</t>
  </si>
  <si>
    <t>090367300000</t>
  </si>
  <si>
    <t>130367400000</t>
  </si>
  <si>
    <t>Pleasant Valley</t>
  </si>
  <si>
    <t>080367500000</t>
  </si>
  <si>
    <t>Plymouth</t>
  </si>
  <si>
    <t>380367600000</t>
  </si>
  <si>
    <t>Poestenkill</t>
  </si>
  <si>
    <t>060367700000</t>
  </si>
  <si>
    <t>Poland</t>
  </si>
  <si>
    <t>060367800000</t>
  </si>
  <si>
    <t>Pomfret</t>
  </si>
  <si>
    <t>310367900000</t>
  </si>
  <si>
    <t>Pompey</t>
  </si>
  <si>
    <t>240368000000</t>
  </si>
  <si>
    <t>Portage</t>
  </si>
  <si>
    <t>290368100000</t>
  </si>
  <si>
    <t>Porter</t>
  </si>
  <si>
    <t>060368200000</t>
  </si>
  <si>
    <t>Portland</t>
  </si>
  <si>
    <t>040368300000</t>
  </si>
  <si>
    <t>Portville</t>
  </si>
  <si>
    <t>400368400000</t>
  </si>
  <si>
    <t>Potsdam</t>
  </si>
  <si>
    <t>570368500000</t>
  </si>
  <si>
    <t>Potter</t>
  </si>
  <si>
    <t>130368600000</t>
  </si>
  <si>
    <t>550368700000</t>
  </si>
  <si>
    <t>Pound Ridge</t>
  </si>
  <si>
    <t>460368800000</t>
  </si>
  <si>
    <t>Prattsburgh</t>
  </si>
  <si>
    <t>190368900000</t>
  </si>
  <si>
    <t>Prattsville</t>
  </si>
  <si>
    <t>110369000000</t>
  </si>
  <si>
    <t>Preble</t>
  </si>
  <si>
    <t>080369100000</t>
  </si>
  <si>
    <t>Preston</t>
  </si>
  <si>
    <t>420369200000</t>
  </si>
  <si>
    <t>Princetown</t>
  </si>
  <si>
    <t>410369300000</t>
  </si>
  <si>
    <t>Providence</t>
  </si>
  <si>
    <t>460369400000</t>
  </si>
  <si>
    <t>Pulteney</t>
  </si>
  <si>
    <t>530369500000</t>
  </si>
  <si>
    <t>370369600000</t>
  </si>
  <si>
    <t>Putnam Valley</t>
  </si>
  <si>
    <t>520369700000</t>
  </si>
  <si>
    <t>Queensbury</t>
  </si>
  <si>
    <t>390369800000</t>
  </si>
  <si>
    <t>Ramapo</t>
  </si>
  <si>
    <t>040369900000</t>
  </si>
  <si>
    <t>Randolph</t>
  </si>
  <si>
    <t>460370000000</t>
  </si>
  <si>
    <t>Rathbone</t>
  </si>
  <si>
    <t>440370100000</t>
  </si>
  <si>
    <t>Reading</t>
  </si>
  <si>
    <t>130370300000</t>
  </si>
  <si>
    <t>Red Hook</t>
  </si>
  <si>
    <t>040370400000</t>
  </si>
  <si>
    <t>Red House</t>
  </si>
  <si>
    <t>350370200000</t>
  </si>
  <si>
    <t>Redfield</t>
  </si>
  <si>
    <t>300370500000</t>
  </si>
  <si>
    <t>Remsen</t>
  </si>
  <si>
    <t>010370600000</t>
  </si>
  <si>
    <t>Rensselaerville</t>
  </si>
  <si>
    <t>130370700000</t>
  </si>
  <si>
    <t>Rhinebeck</t>
  </si>
  <si>
    <t>360370800000</t>
  </si>
  <si>
    <t>Richfield</t>
  </si>
  <si>
    <t>490370900000</t>
  </si>
  <si>
    <t>Richford</t>
  </si>
  <si>
    <t>350371000000</t>
  </si>
  <si>
    <t>Richland</t>
  </si>
  <si>
    <t>320371100000</t>
  </si>
  <si>
    <t>Richmond</t>
  </si>
  <si>
    <t>430371200000</t>
  </si>
  <si>
    <t>Richmondville</t>
  </si>
  <si>
    <t>340371300000</t>
  </si>
  <si>
    <t>Ridgeway</t>
  </si>
  <si>
    <t>260371400000</t>
  </si>
  <si>
    <t>Riga</t>
  </si>
  <si>
    <t>060371500000</t>
  </si>
  <si>
    <t>Ripley</t>
  </si>
  <si>
    <t>470371600000</t>
  </si>
  <si>
    <t>Riverhead</t>
  </si>
  <si>
    <t>510371700000</t>
  </si>
  <si>
    <t>480371800000</t>
  </si>
  <si>
    <t>220371900000</t>
  </si>
  <si>
    <t>Rodman</t>
  </si>
  <si>
    <t>450372000000</t>
  </si>
  <si>
    <t>Romulus</t>
  </si>
  <si>
    <t>270372100000</t>
  </si>
  <si>
    <t>Root</t>
  </si>
  <si>
    <t>540372200000</t>
  </si>
  <si>
    <t>Rose</t>
  </si>
  <si>
    <t>360372300000</t>
  </si>
  <si>
    <t>Roseboom</t>
  </si>
  <si>
    <t>510372400000</t>
  </si>
  <si>
    <t>Rosendale</t>
  </si>
  <si>
    <t>400372500000</t>
  </si>
  <si>
    <t>Rossie</t>
  </si>
  <si>
    <t>420372600000</t>
  </si>
  <si>
    <t>Rotterdam</t>
  </si>
  <si>
    <t>120372700000</t>
  </si>
  <si>
    <t>Roxbury</t>
  </si>
  <si>
    <t>290372800000</t>
  </si>
  <si>
    <t>Royalton</t>
  </si>
  <si>
    <t>260372900000</t>
  </si>
  <si>
    <t>Rush</t>
  </si>
  <si>
    <t>020373000000</t>
  </si>
  <si>
    <t>Rushford</t>
  </si>
  <si>
    <t>400373100000</t>
  </si>
  <si>
    <t>Russell</t>
  </si>
  <si>
    <t>210373200000</t>
  </si>
  <si>
    <t>Russia</t>
  </si>
  <si>
    <t>220373300000</t>
  </si>
  <si>
    <t>Rutland</t>
  </si>
  <si>
    <t>550373400000</t>
  </si>
  <si>
    <t>040373700000</t>
  </si>
  <si>
    <t>530373800000</t>
  </si>
  <si>
    <t>Salem</t>
  </si>
  <si>
    <t>310373900000</t>
  </si>
  <si>
    <t>Salina</t>
  </si>
  <si>
    <t>210374000000</t>
  </si>
  <si>
    <t>Salisbury</t>
  </si>
  <si>
    <t>380374100000</t>
  </si>
  <si>
    <t>Sand Lake</t>
  </si>
  <si>
    <t>350374200000</t>
  </si>
  <si>
    <t>Sandy Creek</t>
  </si>
  <si>
    <t>030374300000</t>
  </si>
  <si>
    <t>Sanford</t>
  </si>
  <si>
    <t>300374400000</t>
  </si>
  <si>
    <t>Sangerfield</t>
  </si>
  <si>
    <t>160374500000</t>
  </si>
  <si>
    <t>Santa Clara</t>
  </si>
  <si>
    <t>090374600000</t>
  </si>
  <si>
    <t>Saranac</t>
  </si>
  <si>
    <t>410374700000</t>
  </si>
  <si>
    <t>140374800000</t>
  </si>
  <si>
    <t>Sardinia</t>
  </si>
  <si>
    <t>510374900000</t>
  </si>
  <si>
    <t>Saugerties</t>
  </si>
  <si>
    <t>540375000000</t>
  </si>
  <si>
    <t>Savannah</t>
  </si>
  <si>
    <t>550375100000</t>
  </si>
  <si>
    <t>Scarsdale</t>
  </si>
  <si>
    <t>380375200000</t>
  </si>
  <si>
    <t>Schaghticoke</t>
  </si>
  <si>
    <t>380375300000</t>
  </si>
  <si>
    <t>Schodack</t>
  </si>
  <si>
    <t>430375400000</t>
  </si>
  <si>
    <t>350375500000</t>
  </si>
  <si>
    <t>Schroeppel</t>
  </si>
  <si>
    <t>150375600000</t>
  </si>
  <si>
    <t>Schroon</t>
  </si>
  <si>
    <t>210375700000</t>
  </si>
  <si>
    <t>090375800000</t>
  </si>
  <si>
    <t>Schuyler Falls</t>
  </si>
  <si>
    <t>020375900000</t>
  </si>
  <si>
    <t>Scio</t>
  </si>
  <si>
    <t>050376000000</t>
  </si>
  <si>
    <t>Scipio</t>
  </si>
  <si>
    <t>110376100000</t>
  </si>
  <si>
    <t>Scott</t>
  </si>
  <si>
    <t>350376200000</t>
  </si>
  <si>
    <t>Scriba</t>
  </si>
  <si>
    <t>050376300000</t>
  </si>
  <si>
    <t>Sempronius</t>
  </si>
  <si>
    <t>320376400000</t>
  </si>
  <si>
    <t>450376500000</t>
  </si>
  <si>
    <t>Seneca Falls</t>
  </si>
  <si>
    <t>050376600000</t>
  </si>
  <si>
    <t>Sennett</t>
  </si>
  <si>
    <t>430376700000</t>
  </si>
  <si>
    <t>Seward</t>
  </si>
  <si>
    <t>510376800000</t>
  </si>
  <si>
    <t>Shandaken</t>
  </si>
  <si>
    <t>430376900000</t>
  </si>
  <si>
    <t>Sharon</t>
  </si>
  <si>
    <t>510377000000</t>
  </si>
  <si>
    <t>Shawangunk</t>
  </si>
  <si>
    <t>340377100000</t>
  </si>
  <si>
    <t>Shelby</t>
  </si>
  <si>
    <t>560377200000</t>
  </si>
  <si>
    <t>Sheldon</t>
  </si>
  <si>
    <t>470377300000</t>
  </si>
  <si>
    <t>Shelter Island</t>
  </si>
  <si>
    <t>080377400000</t>
  </si>
  <si>
    <t>Sherburne</t>
  </si>
  <si>
    <t>060377500000</t>
  </si>
  <si>
    <t>Sheridan</t>
  </si>
  <si>
    <t>060377600000</t>
  </si>
  <si>
    <t>Sherman</t>
  </si>
  <si>
    <t>120377700000</t>
  </si>
  <si>
    <t>Sidney</t>
  </si>
  <si>
    <t>310377800000</t>
  </si>
  <si>
    <t>Skaneateles</t>
  </si>
  <si>
    <t>250377900000</t>
  </si>
  <si>
    <t>Smithfield</t>
  </si>
  <si>
    <t>470378000000</t>
  </si>
  <si>
    <t>Smithtown</t>
  </si>
  <si>
    <t>080378100000</t>
  </si>
  <si>
    <t>Smithville</t>
  </si>
  <si>
    <t>080378200000</t>
  </si>
  <si>
    <t>Smyrna</t>
  </si>
  <si>
    <t>540378300000</t>
  </si>
  <si>
    <t>Sodus</t>
  </si>
  <si>
    <t>110378400000</t>
  </si>
  <si>
    <t>Solon</t>
  </si>
  <si>
    <t>550378500000</t>
  </si>
  <si>
    <t>Somers</t>
  </si>
  <si>
    <t>290378600000</t>
  </si>
  <si>
    <t>Somerset</t>
  </si>
  <si>
    <t>320378800000</t>
  </si>
  <si>
    <t>South Bristol</t>
  </si>
  <si>
    <t>040379200000</t>
  </si>
  <si>
    <t>South Valley</t>
  </si>
  <si>
    <t>470378700000</t>
  </si>
  <si>
    <t>Southampton</t>
  </si>
  <si>
    <t>370378900000</t>
  </si>
  <si>
    <t>Southeast</t>
  </si>
  <si>
    <t>470379000000</t>
  </si>
  <si>
    <t>Southold</t>
  </si>
  <si>
    <t>070379100000</t>
  </si>
  <si>
    <t>Southport</t>
  </si>
  <si>
    <t>310379300000</t>
  </si>
  <si>
    <t>Spafford</t>
  </si>
  <si>
    <t>240379400000</t>
  </si>
  <si>
    <t>Sparta</t>
  </si>
  <si>
    <t>490379500000</t>
  </si>
  <si>
    <t>Spencer</t>
  </si>
  <si>
    <t>360379600000</t>
  </si>
  <si>
    <t>Springfield</t>
  </si>
  <si>
    <t>050379700000</t>
  </si>
  <si>
    <t>Springport</t>
  </si>
  <si>
    <t>240379800000</t>
  </si>
  <si>
    <t>Springwater</t>
  </si>
  <si>
    <t>150373500000</t>
  </si>
  <si>
    <t>St. Armand</t>
  </si>
  <si>
    <t>270373600000</t>
  </si>
  <si>
    <t>St. Johnsville</t>
  </si>
  <si>
    <t>180379900000</t>
  </si>
  <si>
    <t>Stafford</t>
  </si>
  <si>
    <t>120380000000</t>
  </si>
  <si>
    <t>Stamford</t>
  </si>
  <si>
    <t>130380100000</t>
  </si>
  <si>
    <t>Stanford</t>
  </si>
  <si>
    <t>210380200000</t>
  </si>
  <si>
    <t>Stark</t>
  </si>
  <si>
    <t>570380300000</t>
  </si>
  <si>
    <t>Starkey</t>
  </si>
  <si>
    <t>380380400000</t>
  </si>
  <si>
    <t>Stephentown</t>
  </si>
  <si>
    <t>050380500000</t>
  </si>
  <si>
    <t>Sterling</t>
  </si>
  <si>
    <t>300380600000</t>
  </si>
  <si>
    <t>410380700000</t>
  </si>
  <si>
    <t>Stillwater</t>
  </si>
  <si>
    <t>250380800000</t>
  </si>
  <si>
    <t>Stockbridge</t>
  </si>
  <si>
    <t>400380900000</t>
  </si>
  <si>
    <t>Stockholm</t>
  </si>
  <si>
    <t>100381000000</t>
  </si>
  <si>
    <t>Stockport</t>
  </si>
  <si>
    <t>060381100000</t>
  </si>
  <si>
    <t>Stockton</t>
  </si>
  <si>
    <t>520381200000</t>
  </si>
  <si>
    <t>Stony Creek</t>
  </si>
  <si>
    <t>390381300000</t>
  </si>
  <si>
    <t>Stony Point</t>
  </si>
  <si>
    <t>170381400000</t>
  </si>
  <si>
    <t>Stratford</t>
  </si>
  <si>
    <t>100381500000</t>
  </si>
  <si>
    <t>Stuyvesant</t>
  </si>
  <si>
    <t>250381600000</t>
  </si>
  <si>
    <t>050381700000</t>
  </si>
  <si>
    <t>Summer Hill</t>
  </si>
  <si>
    <t>430381800000</t>
  </si>
  <si>
    <t>Summit</t>
  </si>
  <si>
    <t>260381900000</t>
  </si>
  <si>
    <t>Sweden</t>
  </si>
  <si>
    <t>100382000000</t>
  </si>
  <si>
    <t>Taghkanic</t>
  </si>
  <si>
    <t>110382100000</t>
  </si>
  <si>
    <t>Taylor</t>
  </si>
  <si>
    <t>220382200000</t>
  </si>
  <si>
    <t>Theresa</t>
  </si>
  <si>
    <t>480382300000</t>
  </si>
  <si>
    <t>Thompson</t>
  </si>
  <si>
    <t>050382400000</t>
  </si>
  <si>
    <t>Throop</t>
  </si>
  <si>
    <t>520382500000</t>
  </si>
  <si>
    <t>Thurman</t>
  </si>
  <si>
    <t>460382600000</t>
  </si>
  <si>
    <t>Thurston</t>
  </si>
  <si>
    <t>150382700000</t>
  </si>
  <si>
    <t>Ticonderoga</t>
  </si>
  <si>
    <t>490382800000</t>
  </si>
  <si>
    <t>120382900000</t>
  </si>
  <si>
    <t>140383000000</t>
  </si>
  <si>
    <t>570383100000</t>
  </si>
  <si>
    <t>Torrey</t>
  </si>
  <si>
    <t>300383200000</t>
  </si>
  <si>
    <t>Trenton</t>
  </si>
  <si>
    <t>030383300000</t>
  </si>
  <si>
    <t>Triangle</t>
  </si>
  <si>
    <t>460383400000</t>
  </si>
  <si>
    <t>Troupsburg</t>
  </si>
  <si>
    <t>110383500000</t>
  </si>
  <si>
    <t>Truxton</t>
  </si>
  <si>
    <t>310383600000</t>
  </si>
  <si>
    <t>Tully</t>
  </si>
  <si>
    <t>160301500000</t>
  </si>
  <si>
    <t>Tupper Lake</t>
  </si>
  <si>
    <t>230383700000</t>
  </si>
  <si>
    <t>Turin</t>
  </si>
  <si>
    <t>460383800000</t>
  </si>
  <si>
    <t>Tuscarora</t>
  </si>
  <si>
    <t>480383900000</t>
  </si>
  <si>
    <t>Tusten</t>
  </si>
  <si>
    <t>330384000000</t>
  </si>
  <si>
    <t>Tuxedo</t>
  </si>
  <si>
    <t>450384100000</t>
  </si>
  <si>
    <t>Tyre</t>
  </si>
  <si>
    <t>440384200000</t>
  </si>
  <si>
    <t>Tyrone</t>
  </si>
  <si>
    <t>510384300000</t>
  </si>
  <si>
    <t>500384400000</t>
  </si>
  <si>
    <t>Ulysses</t>
  </si>
  <si>
    <t>360384500000</t>
  </si>
  <si>
    <t>Unadilla</t>
  </si>
  <si>
    <t>030384600000</t>
  </si>
  <si>
    <t>Union</t>
  </si>
  <si>
    <t>130384700000</t>
  </si>
  <si>
    <t>Union Vale</t>
  </si>
  <si>
    <t>460384800000</t>
  </si>
  <si>
    <t>Urbana</t>
  </si>
  <si>
    <t>310384900000</t>
  </si>
  <si>
    <t>Van Buren</t>
  </si>
  <si>
    <t>070385000000</t>
  </si>
  <si>
    <t>Van Etten</t>
  </si>
  <si>
    <t>450385100000</t>
  </si>
  <si>
    <t>Varick</t>
  </si>
  <si>
    <t>050385200000</t>
  </si>
  <si>
    <t>Venice</t>
  </si>
  <si>
    <t>300385300000</t>
  </si>
  <si>
    <t>Vernon</t>
  </si>
  <si>
    <t>300385400000</t>
  </si>
  <si>
    <t>Verona</t>
  </si>
  <si>
    <t>030385500000</t>
  </si>
  <si>
    <t>Vestal</t>
  </si>
  <si>
    <t>070385600000</t>
  </si>
  <si>
    <t>Veteran</t>
  </si>
  <si>
    <t>320385700000</t>
  </si>
  <si>
    <t>Victor</t>
  </si>
  <si>
    <t>050385800000</t>
  </si>
  <si>
    <t>Victory</t>
  </si>
  <si>
    <t>300385900000</t>
  </si>
  <si>
    <t>Vienna</t>
  </si>
  <si>
    <t>060386000000</t>
  </si>
  <si>
    <t>Villenova</t>
  </si>
  <si>
    <t>110386100000</t>
  </si>
  <si>
    <t>Virgil</t>
  </si>
  <si>
    <t>350386200000</t>
  </si>
  <si>
    <t>Volney</t>
  </si>
  <si>
    <t>400386300000</t>
  </si>
  <si>
    <t>Waddington</t>
  </si>
  <si>
    <t>140386400000</t>
  </si>
  <si>
    <t>Wales</t>
  </si>
  <si>
    <t>330386500000</t>
  </si>
  <si>
    <t>Wallkill</t>
  </si>
  <si>
    <t>120386600000</t>
  </si>
  <si>
    <t>Walton</t>
  </si>
  <si>
    <t>540386700000</t>
  </si>
  <si>
    <t>Walworth</t>
  </si>
  <si>
    <t>130386800000</t>
  </si>
  <si>
    <t>Wappinger</t>
  </si>
  <si>
    <t>020386900000</t>
  </si>
  <si>
    <t>Ward</t>
  </si>
  <si>
    <t>210387000000</t>
  </si>
  <si>
    <t>520387100000</t>
  </si>
  <si>
    <t>Warrensburg</t>
  </si>
  <si>
    <t>560387200000</t>
  </si>
  <si>
    <t>Warsaw</t>
  </si>
  <si>
    <t>330387300000</t>
  </si>
  <si>
    <t>Warwick</t>
  </si>
  <si>
    <t>130387400000</t>
  </si>
  <si>
    <t>410387500000</t>
  </si>
  <si>
    <t>Waterford</t>
  </si>
  <si>
    <t>450387600000</t>
  </si>
  <si>
    <t>Waterloo</t>
  </si>
  <si>
    <t>220387700000</t>
  </si>
  <si>
    <t>230387800000</t>
  </si>
  <si>
    <t>Watson</t>
  </si>
  <si>
    <t>160387900000</t>
  </si>
  <si>
    <t>Waverly</t>
  </si>
  <si>
    <t>510388000000</t>
  </si>
  <si>
    <t>Wawarsing</t>
  </si>
  <si>
    <t>330388100000</t>
  </si>
  <si>
    <t>Wawayanda</t>
  </si>
  <si>
    <t>460388200000</t>
  </si>
  <si>
    <t>Wayland</t>
  </si>
  <si>
    <t>460388300000</t>
  </si>
  <si>
    <t>210388400000</t>
  </si>
  <si>
    <t>Webb</t>
  </si>
  <si>
    <t>260388500000</t>
  </si>
  <si>
    <t>Webster</t>
  </si>
  <si>
    <t>200388600000</t>
  </si>
  <si>
    <t>Wells</t>
  </si>
  <si>
    <t>020388700000</t>
  </si>
  <si>
    <t>Wellsville</t>
  </si>
  <si>
    <t>020388800000</t>
  </si>
  <si>
    <t>West Almond</t>
  </si>
  <si>
    <t>320388900000</t>
  </si>
  <si>
    <t>West Bloomfield</t>
  </si>
  <si>
    <t>350389400000</t>
  </si>
  <si>
    <t>West Monroe</t>
  </si>
  <si>
    <t>140389700000</t>
  </si>
  <si>
    <t>West Seneca</t>
  </si>
  <si>
    <t>240389800000</t>
  </si>
  <si>
    <t>West Sparta</t>
  </si>
  <si>
    <t>230389900000</t>
  </si>
  <si>
    <t>West Turin</t>
  </si>
  <si>
    <t>460390000000</t>
  </si>
  <si>
    <t>West Union</t>
  </si>
  <si>
    <t>010389000000</t>
  </si>
  <si>
    <t>Westerlo</t>
  </si>
  <si>
    <t>300389100000</t>
  </si>
  <si>
    <t>Western</t>
  </si>
  <si>
    <t>060389200000</t>
  </si>
  <si>
    <t>Westfield</t>
  </si>
  <si>
    <t>360389300000</t>
  </si>
  <si>
    <t>Westford</t>
  </si>
  <si>
    <t>300389500000</t>
  </si>
  <si>
    <t>Westmoreland</t>
  </si>
  <si>
    <t>150389600000</t>
  </si>
  <si>
    <t>Westport</t>
  </si>
  <si>
    <t>160390100000</t>
  </si>
  <si>
    <t>Westville</t>
  </si>
  <si>
    <t>560390200000</t>
  </si>
  <si>
    <t>Wethersfield</t>
  </si>
  <si>
    <t>290390300000</t>
  </si>
  <si>
    <t>Wheatfield</t>
  </si>
  <si>
    <t>260390400000</t>
  </si>
  <si>
    <t>Wheatland</t>
  </si>
  <si>
    <t>460390500000</t>
  </si>
  <si>
    <t>Wheeler</t>
  </si>
  <si>
    <t>530390600000</t>
  </si>
  <si>
    <t>White Creek</t>
  </si>
  <si>
    <t>530390700000</t>
  </si>
  <si>
    <t>Whitehall</t>
  </si>
  <si>
    <t>300390800000</t>
  </si>
  <si>
    <t>Whitestown</t>
  </si>
  <si>
    <t>110390900000</t>
  </si>
  <si>
    <t>Willet</t>
  </si>
  <si>
    <t>540391000000</t>
  </si>
  <si>
    <t>Williamson</t>
  </si>
  <si>
    <t>350391100000</t>
  </si>
  <si>
    <t>Williamstown</t>
  </si>
  <si>
    <t>020391200000</t>
  </si>
  <si>
    <t>Willing</t>
  </si>
  <si>
    <t>150391300000</t>
  </si>
  <si>
    <t>Willsboro</t>
  </si>
  <si>
    <t>150391400000</t>
  </si>
  <si>
    <t>Wilmington</t>
  </si>
  <si>
    <t>220391500000</t>
  </si>
  <si>
    <t>Wilna</t>
  </si>
  <si>
    <t>290391600000</t>
  </si>
  <si>
    <t>Wilson</t>
  </si>
  <si>
    <t>410391700000</t>
  </si>
  <si>
    <t>Wilton</t>
  </si>
  <si>
    <t>190391800000</t>
  </si>
  <si>
    <t>Windham</t>
  </si>
  <si>
    <t>030391900000</t>
  </si>
  <si>
    <t>Windsor</t>
  </si>
  <si>
    <t>210392000000</t>
  </si>
  <si>
    <t>Winfield</t>
  </si>
  <si>
    <t>020392100000</t>
  </si>
  <si>
    <t>Wirt</t>
  </si>
  <si>
    <t>540392200000</t>
  </si>
  <si>
    <t>Wolcott</t>
  </si>
  <si>
    <t>330392300000</t>
  </si>
  <si>
    <t>Woodbury</t>
  </si>
  <si>
    <t>460392400000</t>
  </si>
  <si>
    <t>Woodhull</t>
  </si>
  <si>
    <t>510392500000</t>
  </si>
  <si>
    <t>Woodstock</t>
  </si>
  <si>
    <t>360392600000</t>
  </si>
  <si>
    <t>Worcester</t>
  </si>
  <si>
    <t>220392700000</t>
  </si>
  <si>
    <t>Worth</t>
  </si>
  <si>
    <t>430392800000</t>
  </si>
  <si>
    <t>Wright</t>
  </si>
  <si>
    <t>340392900000</t>
  </si>
  <si>
    <t>240393000000</t>
  </si>
  <si>
    <t>York</t>
  </si>
  <si>
    <t>040393100000</t>
  </si>
  <si>
    <t>Yorkshire</t>
  </si>
  <si>
    <t>550393200000</t>
  </si>
  <si>
    <t>Yorktown</t>
  </si>
  <si>
    <t>220400100010</t>
  </si>
  <si>
    <t xml:space="preserve"> Adams</t>
  </si>
  <si>
    <t>460400200020</t>
  </si>
  <si>
    <t xml:space="preserve"> Addison</t>
  </si>
  <si>
    <t>080400300030</t>
  </si>
  <si>
    <t xml:space="preserve"> Afton</t>
  </si>
  <si>
    <t>390469800035</t>
  </si>
  <si>
    <t xml:space="preserve"> Airmont</t>
  </si>
  <si>
    <t>140458200040</t>
  </si>
  <si>
    <t xml:space="preserve"> Akron</t>
  </si>
  <si>
    <t>340400500050</t>
  </si>
  <si>
    <t xml:space="preserve"> Albion</t>
  </si>
  <si>
    <t>140400700060</t>
  </si>
  <si>
    <t xml:space="preserve"> Alden</t>
  </si>
  <si>
    <t>180400800070</t>
  </si>
  <si>
    <t xml:space="preserve"> Alexander</t>
  </si>
  <si>
    <t>220400900080</t>
  </si>
  <si>
    <t xml:space="preserve"> Alexandria Bay</t>
  </si>
  <si>
    <t>020401000090</t>
  </si>
  <si>
    <t xml:space="preserve"> Alfred</t>
  </si>
  <si>
    <t>040401100100</t>
  </si>
  <si>
    <t xml:space="preserve"> Allegany</t>
  </si>
  <si>
    <t>020401400110</t>
  </si>
  <si>
    <t xml:space="preserve"> Almond</t>
  </si>
  <si>
    <t>010435500120</t>
  </si>
  <si>
    <t xml:space="preserve"> Altamont</t>
  </si>
  <si>
    <t>270412000140</t>
  </si>
  <si>
    <t xml:space="preserve"> Ames</t>
  </si>
  <si>
    <t>470404600150</t>
  </si>
  <si>
    <t xml:space="preserve"> Amityville</t>
  </si>
  <si>
    <t>020402400170</t>
  </si>
  <si>
    <t xml:space="preserve"> Andover</t>
  </si>
  <si>
    <t>020402500180</t>
  </si>
  <si>
    <t xml:space="preserve"> Angelica</t>
  </si>
  <si>
    <t>140427700190</t>
  </si>
  <si>
    <t xml:space="preserve"> Angola</t>
  </si>
  <si>
    <t>220402700200</t>
  </si>
  <si>
    <t xml:space="preserve"> Antwerp</t>
  </si>
  <si>
    <t>560402800210</t>
  </si>
  <si>
    <t xml:space="preserve"> Arcade</t>
  </si>
  <si>
    <t>550434200220</t>
  </si>
  <si>
    <t xml:space="preserve"> Ardsley</t>
  </si>
  <si>
    <t>530403000230</t>
  </si>
  <si>
    <t xml:space="preserve"> Argyle</t>
  </si>
  <si>
    <t>460440400240</t>
  </si>
  <si>
    <t xml:space="preserve"> Arkport</t>
  </si>
  <si>
    <t>470441100250</t>
  </si>
  <si>
    <t xml:space="preserve"> Asharoken</t>
  </si>
  <si>
    <t>190403600260</t>
  </si>
  <si>
    <t xml:space="preserve"> Athens</t>
  </si>
  <si>
    <t>280438600265</t>
  </si>
  <si>
    <t xml:space="preserve"> Atlantic Beach</t>
  </si>
  <si>
    <t>560403700270</t>
  </si>
  <si>
    <t xml:space="preserve"> Attica</t>
  </si>
  <si>
    <t>050445400280</t>
  </si>
  <si>
    <t xml:space="preserve"> Aurora</t>
  </si>
  <si>
    <t>460404400290</t>
  </si>
  <si>
    <t xml:space="preserve"> Avoca</t>
  </si>
  <si>
    <t>240404500300</t>
  </si>
  <si>
    <t xml:space="preserve"> Avon</t>
  </si>
  <si>
    <t>470404600310</t>
  </si>
  <si>
    <t xml:space="preserve"> Babylon</t>
  </si>
  <si>
    <t>080404700320</t>
  </si>
  <si>
    <t xml:space="preserve"> Bainbridge</t>
  </si>
  <si>
    <t>310449300330</t>
  </si>
  <si>
    <t xml:space="preserve"> Baldwinsville</t>
  </si>
  <si>
    <t>410453400340</t>
  </si>
  <si>
    <t xml:space="preserve"> Ballston Spa</t>
  </si>
  <si>
    <t>290478600350</t>
  </si>
  <si>
    <t xml:space="preserve"> Barker</t>
  </si>
  <si>
    <t>460405600360</t>
  </si>
  <si>
    <t xml:space="preserve"> Bath</t>
  </si>
  <si>
    <t>280459700370</t>
  </si>
  <si>
    <t xml:space="preserve"> Baxter Estates</t>
  </si>
  <si>
    <t>280463400380</t>
  </si>
  <si>
    <t xml:space="preserve"> Bayville</t>
  </si>
  <si>
    <t>470409600400</t>
  </si>
  <si>
    <t xml:space="preserve"> Belle Terre</t>
  </si>
  <si>
    <t>280438600390</t>
  </si>
  <si>
    <t xml:space="preserve"> Bellerose</t>
  </si>
  <si>
    <t>470409600410</t>
  </si>
  <si>
    <t xml:space="preserve"> Bellport</t>
  </si>
  <si>
    <t>020402000420</t>
  </si>
  <si>
    <t xml:space="preserve"> Belmont</t>
  </si>
  <si>
    <t>060426300430</t>
  </si>
  <si>
    <t xml:space="preserve"> Bemus Point</t>
  </si>
  <si>
    <t>180406500440</t>
  </si>
  <si>
    <t xml:space="preserve"> Bergen</t>
  </si>
  <si>
    <t>220473300450</t>
  </si>
  <si>
    <t xml:space="preserve"> Black River</t>
  </si>
  <si>
    <t>140436100460</t>
  </si>
  <si>
    <t xml:space="preserve"> Blasdell</t>
  </si>
  <si>
    <t>320424600465</t>
  </si>
  <si>
    <t xml:space="preserve"> Bloomfield</t>
  </si>
  <si>
    <t>480450200470</t>
  </si>
  <si>
    <t xml:space="preserve"> Bloomingburg</t>
  </si>
  <si>
    <t>020407900490</t>
  </si>
  <si>
    <t xml:space="preserve"> Bolivar</t>
  </si>
  <si>
    <t>300408200500</t>
  </si>
  <si>
    <t xml:space="preserve"> Boonville</t>
  </si>
  <si>
    <t>370478900510</t>
  </si>
  <si>
    <t xml:space="preserve"> Brewster</t>
  </si>
  <si>
    <t>550462200520</t>
  </si>
  <si>
    <t xml:space="preserve"> Briarcliff Manor</t>
  </si>
  <si>
    <t>470442100540</t>
  </si>
  <si>
    <t xml:space="preserve"> Brightwaters</t>
  </si>
  <si>
    <t>170409400550</t>
  </si>
  <si>
    <t xml:space="preserve"> Broadalbin</t>
  </si>
  <si>
    <t>260481900560</t>
  </si>
  <si>
    <t xml:space="preserve"> Brockport</t>
  </si>
  <si>
    <t>060468200570</t>
  </si>
  <si>
    <t xml:space="preserve"> Brocton</t>
  </si>
  <si>
    <t>550424700580</t>
  </si>
  <si>
    <t xml:space="preserve"> Bronxville</t>
  </si>
  <si>
    <t>280463400590</t>
  </si>
  <si>
    <t xml:space="preserve"> Brookville</t>
  </si>
  <si>
    <t>220409800600</t>
  </si>
  <si>
    <t xml:space="preserve"> Brownville</t>
  </si>
  <si>
    <t>160454100610</t>
  </si>
  <si>
    <t xml:space="preserve"> Brushton</t>
  </si>
  <si>
    <t>550420300620</t>
  </si>
  <si>
    <t xml:space="preserve"> Buchanan</t>
  </si>
  <si>
    <t>440438500630</t>
  </si>
  <si>
    <t xml:space="preserve"> Burdett</t>
  </si>
  <si>
    <t>160410100640</t>
  </si>
  <si>
    <t xml:space="preserve"> Burke</t>
  </si>
  <si>
    <t>240411000650</t>
  </si>
  <si>
    <t xml:space="preserve"> Caledonia</t>
  </si>
  <si>
    <t>530490600660</t>
  </si>
  <si>
    <t xml:space="preserve"> Cambridge</t>
  </si>
  <si>
    <t>300411400670</t>
  </si>
  <si>
    <t xml:space="preserve"> Camden</t>
  </si>
  <si>
    <t>310411600680</t>
  </si>
  <si>
    <t xml:space="preserve"> Camillus</t>
  </si>
  <si>
    <t>270412000690</t>
  </si>
  <si>
    <t xml:space="preserve"> Canajoharie</t>
  </si>
  <si>
    <t>020410300700</t>
  </si>
  <si>
    <t xml:space="preserve"> Canaseraga</t>
  </si>
  <si>
    <t>250445700710</t>
  </si>
  <si>
    <t xml:space="preserve"> Canastota</t>
  </si>
  <si>
    <t>490412200720</t>
  </si>
  <si>
    <t xml:space="preserve"> Candor</t>
  </si>
  <si>
    <t>460412400730</t>
  </si>
  <si>
    <t xml:space="preserve"> Canisteo</t>
  </si>
  <si>
    <t>400412500740</t>
  </si>
  <si>
    <t xml:space="preserve"> Canton</t>
  </si>
  <si>
    <t>220412600750</t>
  </si>
  <si>
    <t xml:space="preserve"> Cape Vincent</t>
  </si>
  <si>
    <t>220491500760</t>
  </si>
  <si>
    <t xml:space="preserve"> Carthage</t>
  </si>
  <si>
    <t>060481100770</t>
  </si>
  <si>
    <t xml:space="preserve"> Cassadaga</t>
  </si>
  <si>
    <t>560413400780</t>
  </si>
  <si>
    <t xml:space="preserve"> Castile</t>
  </si>
  <si>
    <t>380475300790</t>
  </si>
  <si>
    <t xml:space="preserve"> Castleton-On-Hudson</t>
  </si>
  <si>
    <t>230422800800</t>
  </si>
  <si>
    <t xml:space="preserve"> Castorland</t>
  </si>
  <si>
    <t>050441800810</t>
  </si>
  <si>
    <t xml:space="preserve"> Cato</t>
  </si>
  <si>
    <t>190413900820</t>
  </si>
  <si>
    <t xml:space="preserve"> Catskill</t>
  </si>
  <si>
    <t>040456400830</t>
  </si>
  <si>
    <t xml:space="preserve"> Cattaraugus</t>
  </si>
  <si>
    <t>050403900840</t>
  </si>
  <si>
    <t xml:space="preserve"> Cayuga</t>
  </si>
  <si>
    <t>500442300850</t>
  </si>
  <si>
    <t xml:space="preserve"> Cayuga Heights</t>
  </si>
  <si>
    <t>250414100860</t>
  </si>
  <si>
    <t xml:space="preserve"> Cazenovia</t>
  </si>
  <si>
    <t>280438600870</t>
  </si>
  <si>
    <t xml:space="preserve"> Cedarhurst</t>
  </si>
  <si>
    <t>060426400880</t>
  </si>
  <si>
    <t xml:space="preserve"> Celoron</t>
  </si>
  <si>
    <t>350438200890</t>
  </si>
  <si>
    <t xml:space="preserve"> Central Square</t>
  </si>
  <si>
    <t>280463400900</t>
  </si>
  <si>
    <t xml:space="preserve"> Centre Island</t>
  </si>
  <si>
    <t>090414400910</t>
  </si>
  <si>
    <t xml:space="preserve"> Champlain</t>
  </si>
  <si>
    <t>160414800920</t>
  </si>
  <si>
    <t xml:space="preserve"> Chateaugay</t>
  </si>
  <si>
    <t>100432800930</t>
  </si>
  <si>
    <t xml:space="preserve"> Chatham</t>
  </si>
  <si>
    <t>220448900940</t>
  </si>
  <si>
    <t xml:space="preserve"> Chaumont</t>
  </si>
  <si>
    <t>360415600960</t>
  </si>
  <si>
    <t xml:space="preserve"> Cherry Valley</t>
  </si>
  <si>
    <t>330415700970</t>
  </si>
  <si>
    <t xml:space="preserve"> Chester</t>
  </si>
  <si>
    <t>390469800975</t>
  </si>
  <si>
    <t xml:space="preserve"> Chestnut Ridge</t>
  </si>
  <si>
    <t>250481600980</t>
  </si>
  <si>
    <t xml:space="preserve"> Chittenango</t>
  </si>
  <si>
    <t>260471400990</t>
  </si>
  <si>
    <t xml:space="preserve"> Churchville</t>
  </si>
  <si>
    <t>220417101000</t>
  </si>
  <si>
    <t xml:space="preserve"> Clayton</t>
  </si>
  <si>
    <t>300463901010</t>
  </si>
  <si>
    <t xml:space="preserve"> Clayville</t>
  </si>
  <si>
    <t>350419801020</t>
  </si>
  <si>
    <t xml:space="preserve"> Cleveland</t>
  </si>
  <si>
    <t>320450401030</t>
  </si>
  <si>
    <t xml:space="preserve"> Clifton Springs</t>
  </si>
  <si>
    <t>300444101040</t>
  </si>
  <si>
    <t xml:space="preserve"> Clinton</t>
  </si>
  <si>
    <t>540431201050</t>
  </si>
  <si>
    <t xml:space="preserve"> Clyde</t>
  </si>
  <si>
    <t>430417801060</t>
  </si>
  <si>
    <t xml:space="preserve"> Cobleskill</t>
  </si>
  <si>
    <t>460418101070</t>
  </si>
  <si>
    <t xml:space="preserve"> Cohocton</t>
  </si>
  <si>
    <t>210473201080</t>
  </si>
  <si>
    <t xml:space="preserve"> Cold Brook</t>
  </si>
  <si>
    <t>370466001090</t>
  </si>
  <si>
    <t xml:space="preserve"> Cold Spring</t>
  </si>
  <si>
    <t>010418701100</t>
  </si>
  <si>
    <t xml:space="preserve"> Colonie</t>
  </si>
  <si>
    <t>230489901110</t>
  </si>
  <si>
    <t xml:space="preserve"> Constableville</t>
  </si>
  <si>
    <t>360462701120</t>
  </si>
  <si>
    <t xml:space="preserve"> Cooperstown</t>
  </si>
  <si>
    <t>230422801130</t>
  </si>
  <si>
    <t xml:space="preserve"> Copenhagen</t>
  </si>
  <si>
    <t>180464701140</t>
  </si>
  <si>
    <t xml:space="preserve"> Corfu</t>
  </si>
  <si>
    <t>410420001150</t>
  </si>
  <si>
    <t xml:space="preserve"> Corinth</t>
  </si>
  <si>
    <t>330420201160</t>
  </si>
  <si>
    <t xml:space="preserve"> Cornwall-On-Hudson</t>
  </si>
  <si>
    <t>280463401170</t>
  </si>
  <si>
    <t xml:space="preserve"> Cove Neck</t>
  </si>
  <si>
    <t>190420801180</t>
  </si>
  <si>
    <t xml:space="preserve"> Coxsackie</t>
  </si>
  <si>
    <t>230421001190</t>
  </si>
  <si>
    <t xml:space="preserve"> Croghan</t>
  </si>
  <si>
    <t>550420301200</t>
  </si>
  <si>
    <t xml:space="preserve"> Croton-On-Hudson</t>
  </si>
  <si>
    <t>020421201210</t>
  </si>
  <si>
    <t xml:space="preserve"> Cuba</t>
  </si>
  <si>
    <t>090421501220</t>
  </si>
  <si>
    <t xml:space="preserve"> Dannemora</t>
  </si>
  <si>
    <t>240459201230</t>
  </si>
  <si>
    <t xml:space="preserve"> Dansville</t>
  </si>
  <si>
    <t>250423201310</t>
  </si>
  <si>
    <t xml:space="preserve"> De Ruyter</t>
  </si>
  <si>
    <t>220491501240</t>
  </si>
  <si>
    <t xml:space="preserve"> Deferiet</t>
  </si>
  <si>
    <t>420424201250</t>
  </si>
  <si>
    <t xml:space="preserve"> Delanson</t>
  </si>
  <si>
    <t>040493101260</t>
  </si>
  <si>
    <t xml:space="preserve"> Delevan</t>
  </si>
  <si>
    <t>120422701270</t>
  </si>
  <si>
    <t xml:space="preserve"> Delhi</t>
  </si>
  <si>
    <t>140415201280</t>
  </si>
  <si>
    <t xml:space="preserve"> Depew</t>
  </si>
  <si>
    <t>030474301290</t>
  </si>
  <si>
    <t xml:space="preserve"> Deposit</t>
  </si>
  <si>
    <t>470477301300</t>
  </si>
  <si>
    <t xml:space="preserve"> Dering Harbor</t>
  </si>
  <si>
    <t>220409801320</t>
  </si>
  <si>
    <t xml:space="preserve"> Dexter</t>
  </si>
  <si>
    <t>550434201330</t>
  </si>
  <si>
    <t xml:space="preserve"> Dobbs Ferry</t>
  </si>
  <si>
    <t>210450501340</t>
  </si>
  <si>
    <t xml:space="preserve"> Dolgeville</t>
  </si>
  <si>
    <t>570483101360</t>
  </si>
  <si>
    <t xml:space="preserve"> Dresden</t>
  </si>
  <si>
    <t>500424001370</t>
  </si>
  <si>
    <t xml:space="preserve"> Dryden</t>
  </si>
  <si>
    <t>570480301380</t>
  </si>
  <si>
    <t xml:space="preserve"> Dundee</t>
  </si>
  <si>
    <t>080477401390</t>
  </si>
  <si>
    <t xml:space="preserve"> Earlville</t>
  </si>
  <si>
    <t>140404001400</t>
  </si>
  <si>
    <t xml:space="preserve"> East Aurora</t>
  </si>
  <si>
    <t>470425001420</t>
  </si>
  <si>
    <t xml:space="preserve"> East Hampton</t>
  </si>
  <si>
    <t>280459701430</t>
  </si>
  <si>
    <t xml:space="preserve"> East Hills</t>
  </si>
  <si>
    <t>380456101435</t>
  </si>
  <si>
    <t xml:space="preserve"> East Nassau</t>
  </si>
  <si>
    <t>260425251450</t>
  </si>
  <si>
    <t xml:space="preserve"> East Rochester</t>
  </si>
  <si>
    <t>280438601460</t>
  </si>
  <si>
    <t xml:space="preserve"> East Rockaway</t>
  </si>
  <si>
    <t>310423301470</t>
  </si>
  <si>
    <t xml:space="preserve"> East Syracuse</t>
  </si>
  <si>
    <t>280459701480</t>
  </si>
  <si>
    <t xml:space="preserve"> East Williston</t>
  </si>
  <si>
    <t>180425801500</t>
  </si>
  <si>
    <t xml:space="preserve"> Elba</t>
  </si>
  <si>
    <t>310425901510</t>
  </si>
  <si>
    <t xml:space="preserve"> Elbridge</t>
  </si>
  <si>
    <t>510488001530</t>
  </si>
  <si>
    <t xml:space="preserve"> Ellenville</t>
  </si>
  <si>
    <t>040426501540</t>
  </si>
  <si>
    <t xml:space="preserve"> Ellicottville</t>
  </si>
  <si>
    <t>220426701550</t>
  </si>
  <si>
    <t xml:space="preserve"> Ellisburg</t>
  </si>
  <si>
    <t>070440501560</t>
  </si>
  <si>
    <t xml:space="preserve"> Elmira Heights</t>
  </si>
  <si>
    <t>550434201570</t>
  </si>
  <si>
    <t xml:space="preserve"> Elmsford</t>
  </si>
  <si>
    <t>030484601580</t>
  </si>
  <si>
    <t xml:space="preserve"> Endicott</t>
  </si>
  <si>
    <t>430427501590</t>
  </si>
  <si>
    <t xml:space="preserve"> Esperance</t>
  </si>
  <si>
    <t>220445901600</t>
  </si>
  <si>
    <t xml:space="preserve"> Evans Mills</t>
  </si>
  <si>
    <t>310427901610</t>
  </si>
  <si>
    <t xml:space="preserve"> Fabius</t>
  </si>
  <si>
    <t>050480501620</t>
  </si>
  <si>
    <t xml:space="preserve"> Fair Haven</t>
  </si>
  <si>
    <t>260465001630</t>
  </si>
  <si>
    <t xml:space="preserve"> Fairport</t>
  </si>
  <si>
    <t>060426401640</t>
  </si>
  <si>
    <t xml:space="preserve"> Falconer</t>
  </si>
  <si>
    <t>280463401650</t>
  </si>
  <si>
    <t xml:space="preserve"> Farmingdale</t>
  </si>
  <si>
    <t>140408801660</t>
  </si>
  <si>
    <t xml:space="preserve"> Farnham</t>
  </si>
  <si>
    <t>310450601670</t>
  </si>
  <si>
    <t xml:space="preserve"> Fayetteville</t>
  </si>
  <si>
    <t>130428801690</t>
  </si>
  <si>
    <t xml:space="preserve"> Fishkill</t>
  </si>
  <si>
    <t>120453001700</t>
  </si>
  <si>
    <t xml:space="preserve"> Fleischmanns</t>
  </si>
  <si>
    <t>280438601710</t>
  </si>
  <si>
    <t xml:space="preserve"> Floral Park</t>
  </si>
  <si>
    <t>330487301720</t>
  </si>
  <si>
    <t xml:space="preserve"> Florida</t>
  </si>
  <si>
    <t>280459701730</t>
  </si>
  <si>
    <t xml:space="preserve"> Flower Hill</t>
  </si>
  <si>
    <t>270454001740</t>
  </si>
  <si>
    <t xml:space="preserve"> Fonda</t>
  </si>
  <si>
    <t>530429501760</t>
  </si>
  <si>
    <t xml:space="preserve"> Fort Ann</t>
  </si>
  <si>
    <t>530429701780</t>
  </si>
  <si>
    <t xml:space="preserve"> Fort Edward</t>
  </si>
  <si>
    <t>270402101790</t>
  </si>
  <si>
    <t xml:space="preserve"> Fort Johnson</t>
  </si>
  <si>
    <t>270453601800</t>
  </si>
  <si>
    <t xml:space="preserve"> Fort Plain</t>
  </si>
  <si>
    <t>210429901810</t>
  </si>
  <si>
    <t xml:space="preserve"> Frankfort</t>
  </si>
  <si>
    <t>120430001820</t>
  </si>
  <si>
    <t xml:space="preserve"> Franklin</t>
  </si>
  <si>
    <t>040430201830</t>
  </si>
  <si>
    <t xml:space="preserve"> Franklinville</t>
  </si>
  <si>
    <t>060467801840</t>
  </si>
  <si>
    <t xml:space="preserve"> Fredonia</t>
  </si>
  <si>
    <t>280438601850</t>
  </si>
  <si>
    <t xml:space="preserve"> Freeport</t>
  </si>
  <si>
    <t>500424001860</t>
  </si>
  <si>
    <t xml:space="preserve"> Freeville</t>
  </si>
  <si>
    <t>270433001880</t>
  </si>
  <si>
    <t xml:space="preserve"> Fultonville</t>
  </si>
  <si>
    <t>560431101890</t>
  </si>
  <si>
    <t xml:space="preserve"> Gainesville</t>
  </si>
  <si>
    <t>410431401900</t>
  </si>
  <si>
    <t xml:space="preserve"> Galway</t>
  </si>
  <si>
    <t>280438601910</t>
  </si>
  <si>
    <t xml:space="preserve"> Garden City</t>
  </si>
  <si>
    <t>240432001920</t>
  </si>
  <si>
    <t xml:space="preserve"> Geneseo</t>
  </si>
  <si>
    <t>360410601930</t>
  </si>
  <si>
    <t xml:space="preserve"> Gilbertsville</t>
  </si>
  <si>
    <t>220409801940</t>
  </si>
  <si>
    <t xml:space="preserve"> Glen Park</t>
  </si>
  <si>
    <t>330433301950</t>
  </si>
  <si>
    <t xml:space="preserve"> Goshen</t>
  </si>
  <si>
    <t>400433401960</t>
  </si>
  <si>
    <t xml:space="preserve"> Gouverneur</t>
  </si>
  <si>
    <t>040465301970</t>
  </si>
  <si>
    <t xml:space="preserve"> Gowanda</t>
  </si>
  <si>
    <t>390461501980</t>
  </si>
  <si>
    <t xml:space="preserve"> Grand View-On-Hudson</t>
  </si>
  <si>
    <t>530433901990</t>
  </si>
  <si>
    <t xml:space="preserve"> Granville</t>
  </si>
  <si>
    <t>280459702000</t>
  </si>
  <si>
    <t xml:space="preserve"> Great Neck</t>
  </si>
  <si>
    <t>280459702010</t>
  </si>
  <si>
    <t xml:space="preserve"> Great Neck Estates</t>
  </si>
  <si>
    <t>280459702020</t>
  </si>
  <si>
    <t xml:space="preserve"> Great Neck Plaza</t>
  </si>
  <si>
    <t>010434502040</t>
  </si>
  <si>
    <t xml:space="preserve"> Green Island</t>
  </si>
  <si>
    <t>080434302030</t>
  </si>
  <si>
    <t xml:space="preserve"> Greene</t>
  </si>
  <si>
    <t>470479002050</t>
  </si>
  <si>
    <t xml:space="preserve"> Greenport</t>
  </si>
  <si>
    <t>530434902060</t>
  </si>
  <si>
    <t xml:space="preserve"> Greenwich</t>
  </si>
  <si>
    <t>330487302070</t>
  </si>
  <si>
    <t xml:space="preserve"> Greenwood Lake</t>
  </si>
  <si>
    <t>500435202080</t>
  </si>
  <si>
    <t xml:space="preserve"> Groton</t>
  </si>
  <si>
    <t>270402102090</t>
  </si>
  <si>
    <t xml:space="preserve"> Hagaman</t>
  </si>
  <si>
    <t>140436102100</t>
  </si>
  <si>
    <t xml:space="preserve"> Hamburg</t>
  </si>
  <si>
    <t>250436302110</t>
  </si>
  <si>
    <t xml:space="preserve"> Hamilton</t>
  </si>
  <si>
    <t>400436502120</t>
  </si>
  <si>
    <t xml:space="preserve"> Hammond</t>
  </si>
  <si>
    <t>460484802130</t>
  </si>
  <si>
    <t xml:space="preserve"> Hammondsport</t>
  </si>
  <si>
    <t>120436802140</t>
  </si>
  <si>
    <t xml:space="preserve"> Hancock</t>
  </si>
  <si>
    <t>350436902150</t>
  </si>
  <si>
    <t xml:space="preserve"> Hannibal</t>
  </si>
  <si>
    <t>330492302160</t>
  </si>
  <si>
    <t xml:space="preserve"> Harriman</t>
  </si>
  <si>
    <t>550437702165</t>
  </si>
  <si>
    <t xml:space="preserve"> Harrison</t>
  </si>
  <si>
    <t>550434202180</t>
  </si>
  <si>
    <t xml:space="preserve"> Hastings-On-Hudson</t>
  </si>
  <si>
    <t>390438302190</t>
  </si>
  <si>
    <t xml:space="preserve"> Haverstraw</t>
  </si>
  <si>
    <t>470478002200</t>
  </si>
  <si>
    <t xml:space="preserve"> Head Of The Harbor</t>
  </si>
  <si>
    <t>280438602210</t>
  </si>
  <si>
    <t xml:space="preserve"> Hempstead</t>
  </si>
  <si>
    <t>210438902220</t>
  </si>
  <si>
    <t xml:space="preserve"> Herkimer</t>
  </si>
  <si>
    <t>400462302250</t>
  </si>
  <si>
    <t xml:space="preserve"> Heuvelton</t>
  </si>
  <si>
    <t>280438602260</t>
  </si>
  <si>
    <t xml:space="preserve"> Hewlett Bay Park</t>
  </si>
  <si>
    <t>280438602270</t>
  </si>
  <si>
    <t xml:space="preserve"> Hewlett Harbor</t>
  </si>
  <si>
    <t>280438602280</t>
  </si>
  <si>
    <t xml:space="preserve"> Hewlett Neck</t>
  </si>
  <si>
    <t>330439202290</t>
  </si>
  <si>
    <t xml:space="preserve"> Highland Falls</t>
  </si>
  <si>
    <t>390469802300</t>
  </si>
  <si>
    <t xml:space="preserve"> Hillburn</t>
  </si>
  <si>
    <t>260464202310</t>
  </si>
  <si>
    <t xml:space="preserve"> Hilton</t>
  </si>
  <si>
    <t>120480002320</t>
  </si>
  <si>
    <t xml:space="preserve"> Hobart</t>
  </si>
  <si>
    <t>300483202340</t>
  </si>
  <si>
    <t xml:space="preserve"> Holland Patent</t>
  </si>
  <si>
    <t>340455702350</t>
  </si>
  <si>
    <t xml:space="preserve"> Holley</t>
  </si>
  <si>
    <t>110439702360</t>
  </si>
  <si>
    <t xml:space="preserve"> Homer</t>
  </si>
  <si>
    <t>260452202370</t>
  </si>
  <si>
    <t xml:space="preserve"> Honeoye Falls</t>
  </si>
  <si>
    <t>380439802380</t>
  </si>
  <si>
    <t xml:space="preserve"> Hoosick Falls</t>
  </si>
  <si>
    <t>070440502390</t>
  </si>
  <si>
    <t xml:space="preserve"> Horseheads</t>
  </si>
  <si>
    <t>530443902400</t>
  </si>
  <si>
    <t xml:space="preserve"> Hudson Falls</t>
  </si>
  <si>
    <t>190441002410</t>
  </si>
  <si>
    <t xml:space="preserve"> Hunter</t>
  </si>
  <si>
    <t>470441102420</t>
  </si>
  <si>
    <t xml:space="preserve"> Huntington Bay</t>
  </si>
  <si>
    <t>210432502430</t>
  </si>
  <si>
    <t xml:space="preserve"> Ilion</t>
  </si>
  <si>
    <t>450420602440</t>
  </si>
  <si>
    <t xml:space="preserve"> Interlaken</t>
  </si>
  <si>
    <t>550434202450</t>
  </si>
  <si>
    <t xml:space="preserve"> Irvington</t>
  </si>
  <si>
    <t>280438602460</t>
  </si>
  <si>
    <t xml:space="preserve"> Island Park</t>
  </si>
  <si>
    <t>470442102465</t>
  </si>
  <si>
    <t xml:space="preserve"> Islandia</t>
  </si>
  <si>
    <t>480411102470</t>
  </si>
  <si>
    <t xml:space="preserve"> Jeffersonville</t>
  </si>
  <si>
    <t>030484602480</t>
  </si>
  <si>
    <t xml:space="preserve"> Johnson City</t>
  </si>
  <si>
    <t>310425902490</t>
  </si>
  <si>
    <t xml:space="preserve"> Jordan</t>
  </si>
  <si>
    <t>390469802495</t>
  </si>
  <si>
    <t xml:space="preserve"> Kaser</t>
  </si>
  <si>
    <t>140483002510</t>
  </si>
  <si>
    <t xml:space="preserve"> Kenmore</t>
  </si>
  <si>
    <t>280459702520</t>
  </si>
  <si>
    <t xml:space="preserve"> Kensington</t>
  </si>
  <si>
    <t>100443802530</t>
  </si>
  <si>
    <t xml:space="preserve"> Kinderhook</t>
  </si>
  <si>
    <t>280459702540</t>
  </si>
  <si>
    <t xml:space="preserve"> Kings Point</t>
  </si>
  <si>
    <t>330454202545</t>
  </si>
  <si>
    <t xml:space="preserve"> Kiryas Joel</t>
  </si>
  <si>
    <t>350474202550</t>
  </si>
  <si>
    <t xml:space="preserve"> Lacona</t>
  </si>
  <si>
    <t>520444632560</t>
  </si>
  <si>
    <t xml:space="preserve"> Lake George</t>
  </si>
  <si>
    <t>470409602565</t>
  </si>
  <si>
    <t xml:space="preserve"> Lake Grove</t>
  </si>
  <si>
    <t>150459402570</t>
  </si>
  <si>
    <t xml:space="preserve"> Lake Placid</t>
  </si>
  <si>
    <t>280459702580</t>
  </si>
  <si>
    <t xml:space="preserve"> Lake Success</t>
  </si>
  <si>
    <t>060410402590</t>
  </si>
  <si>
    <t xml:space="preserve"> Lakewood</t>
  </si>
  <si>
    <t>140444802600</t>
  </si>
  <si>
    <t xml:space="preserve"> Lancaster</t>
  </si>
  <si>
    <t>500444902605</t>
  </si>
  <si>
    <t xml:space="preserve"> Lansing</t>
  </si>
  <si>
    <t>550450302610</t>
  </si>
  <si>
    <t xml:space="preserve"> Larchmont</t>
  </si>
  <si>
    <t>280463402620</t>
  </si>
  <si>
    <t xml:space="preserve"> Lattingtown</t>
  </si>
  <si>
    <t>280463402630</t>
  </si>
  <si>
    <t xml:space="preserve"> Laurel Hollow</t>
  </si>
  <si>
    <t>360445102640</t>
  </si>
  <si>
    <t xml:space="preserve"> Laurens</t>
  </si>
  <si>
    <t>280438602650</t>
  </si>
  <si>
    <t xml:space="preserve"> Lawrence</t>
  </si>
  <si>
    <t>180446002670</t>
  </si>
  <si>
    <t xml:space="preserve"> Le Roy</t>
  </si>
  <si>
    <t>240445602660</t>
  </si>
  <si>
    <t xml:space="preserve"> Leicester</t>
  </si>
  <si>
    <t>290446402680</t>
  </si>
  <si>
    <t xml:space="preserve"> Lewiston</t>
  </si>
  <si>
    <t>480446702690</t>
  </si>
  <si>
    <t xml:space="preserve"> Liberty</t>
  </si>
  <si>
    <t>240446802700</t>
  </si>
  <si>
    <t xml:space="preserve"> Lima</t>
  </si>
  <si>
    <t>470404602720</t>
  </si>
  <si>
    <t xml:space="preserve"> Lindenhurst</t>
  </si>
  <si>
    <t>030447302730</t>
  </si>
  <si>
    <t xml:space="preserve"> Lisle</t>
  </si>
  <si>
    <t>040447602740</t>
  </si>
  <si>
    <t xml:space="preserve"> Little Valley</t>
  </si>
  <si>
    <t>310473902750</t>
  </si>
  <si>
    <t xml:space="preserve"> Liverpool</t>
  </si>
  <si>
    <t>240447802760</t>
  </si>
  <si>
    <t xml:space="preserve"> Livonia</t>
  </si>
  <si>
    <t>470441102770</t>
  </si>
  <si>
    <t xml:space="preserve"> Lloyd Harbor</t>
  </si>
  <si>
    <t>450448202780</t>
  </si>
  <si>
    <t xml:space="preserve"> Lodi</t>
  </si>
  <si>
    <t>230448602790</t>
  </si>
  <si>
    <t xml:space="preserve"> Lowville</t>
  </si>
  <si>
    <t>280438602800</t>
  </si>
  <si>
    <t xml:space="preserve"> Lynbrook</t>
  </si>
  <si>
    <t>340492902810</t>
  </si>
  <si>
    <t xml:space="preserve"> Lyndonville</t>
  </si>
  <si>
    <t>230489902830</t>
  </si>
  <si>
    <t xml:space="preserve"> Lyons Falls</t>
  </si>
  <si>
    <t>250449702860</t>
  </si>
  <si>
    <t xml:space="preserve"> Madison</t>
  </si>
  <si>
    <t>160450002870</t>
  </si>
  <si>
    <t xml:space="preserve"> Malone</t>
  </si>
  <si>
    <t>280438602880</t>
  </si>
  <si>
    <t xml:space="preserve"> Malverne</t>
  </si>
  <si>
    <t>550450302890</t>
  </si>
  <si>
    <t xml:space="preserve"> Mamaroneck</t>
  </si>
  <si>
    <t>320450402900</t>
  </si>
  <si>
    <t xml:space="preserve"> Manchester</t>
  </si>
  <si>
    <t>310450602910</t>
  </si>
  <si>
    <t xml:space="preserve"> Manlius</t>
  </si>
  <si>
    <t>220426702920</t>
  </si>
  <si>
    <t xml:space="preserve"> Mannsville</t>
  </si>
  <si>
    <t>280459702930</t>
  </si>
  <si>
    <t xml:space="preserve"> Manorhaven</t>
  </si>
  <si>
    <t>110450802940</t>
  </si>
  <si>
    <t xml:space="preserve"> Marathon</t>
  </si>
  <si>
    <t>310451002950</t>
  </si>
  <si>
    <t xml:space="preserve"> Marcellus</t>
  </si>
  <si>
    <t>120453002960</t>
  </si>
  <si>
    <t xml:space="preserve"> Margaretville</t>
  </si>
  <si>
    <t>280463402970</t>
  </si>
  <si>
    <t xml:space="preserve"> Massapequa Park</t>
  </si>
  <si>
    <t>400451902980</t>
  </si>
  <si>
    <t xml:space="preserve"> Massena</t>
  </si>
  <si>
    <t>280463402990</t>
  </si>
  <si>
    <t xml:space="preserve"> Matinecock</t>
  </si>
  <si>
    <t>330454503000</t>
  </si>
  <si>
    <t xml:space="preserve"> Maybrook</t>
  </si>
  <si>
    <t>170452003010</t>
  </si>
  <si>
    <t xml:space="preserve"> Mayfield</t>
  </si>
  <si>
    <t>060415003020</t>
  </si>
  <si>
    <t xml:space="preserve"> Mayville</t>
  </si>
  <si>
    <t>110420402840</t>
  </si>
  <si>
    <t xml:space="preserve"> McGraw</t>
  </si>
  <si>
    <t>340471303030</t>
  </si>
  <si>
    <t xml:space="preserve"> Medina</t>
  </si>
  <si>
    <t>010418703040</t>
  </si>
  <si>
    <t xml:space="preserve"> Menands</t>
  </si>
  <si>
    <t>050413703050</t>
  </si>
  <si>
    <t xml:space="preserve"> Meridian</t>
  </si>
  <si>
    <t>350452503060</t>
  </si>
  <si>
    <t xml:space="preserve"> Mexico</t>
  </si>
  <si>
    <t>430452603070</t>
  </si>
  <si>
    <t xml:space="preserve"> Middleburgh</t>
  </si>
  <si>
    <t>290472803080</t>
  </si>
  <si>
    <t xml:space="preserve"> Middleport</t>
  </si>
  <si>
    <t>210428003090</t>
  </si>
  <si>
    <t xml:space="preserve"> Middleville</t>
  </si>
  <si>
    <t>360453203100</t>
  </si>
  <si>
    <t xml:space="preserve"> Milford</t>
  </si>
  <si>
    <t>280463403130</t>
  </si>
  <si>
    <t xml:space="preserve"> Mill Neck</t>
  </si>
  <si>
    <t>130487403110</t>
  </si>
  <si>
    <t xml:space="preserve"> Millbrook</t>
  </si>
  <si>
    <t>130459303120</t>
  </si>
  <si>
    <t xml:space="preserve"> Millerton</t>
  </si>
  <si>
    <t>070485603140</t>
  </si>
  <si>
    <t xml:space="preserve"> Millport</t>
  </si>
  <si>
    <t>280459703150</t>
  </si>
  <si>
    <t xml:space="preserve"> Mineola</t>
  </si>
  <si>
    <t>310450603160</t>
  </si>
  <si>
    <t xml:space="preserve"> Minoa</t>
  </si>
  <si>
    <t>210432503170</t>
  </si>
  <si>
    <t xml:space="preserve"> Mohawk</t>
  </si>
  <si>
    <t>330454203180</t>
  </si>
  <si>
    <t xml:space="preserve"> Monroe</t>
  </si>
  <si>
    <t>390469803185</t>
  </si>
  <si>
    <t xml:space="preserve"> Montebello</t>
  </si>
  <si>
    <t>330454503190</t>
  </si>
  <si>
    <t xml:space="preserve"> Montgomery</t>
  </si>
  <si>
    <t>480482303200</t>
  </si>
  <si>
    <t xml:space="preserve"> Monticello</t>
  </si>
  <si>
    <t>440454603210</t>
  </si>
  <si>
    <t xml:space="preserve"> Montour Falls</t>
  </si>
  <si>
    <t>050454803230</t>
  </si>
  <si>
    <t xml:space="preserve"> Moravia</t>
  </si>
  <si>
    <t>360455203240</t>
  </si>
  <si>
    <t xml:space="preserve"> Morris</t>
  </si>
  <si>
    <t>250425303260</t>
  </si>
  <si>
    <t xml:space="preserve"> Morrisville</t>
  </si>
  <si>
    <t>550455453270</t>
  </si>
  <si>
    <t xml:space="preserve"> Mount Kisco</t>
  </si>
  <si>
    <t>240455503280</t>
  </si>
  <si>
    <t xml:space="preserve"> Mount Morris</t>
  </si>
  <si>
    <t>250480803290</t>
  </si>
  <si>
    <t xml:space="preserve"> Munnsville</t>
  </si>
  <si>
    <t>280459703300</t>
  </si>
  <si>
    <t xml:space="preserve"> Munsey Park</t>
  </si>
  <si>
    <t>280463403310</t>
  </si>
  <si>
    <t xml:space="preserve"> Muttontown</t>
  </si>
  <si>
    <t>320455903320</t>
  </si>
  <si>
    <t xml:space="preserve"> Naples</t>
  </si>
  <si>
    <t>380456103330</t>
  </si>
  <si>
    <t xml:space="preserve"> Nassau</t>
  </si>
  <si>
    <t>270463503340</t>
  </si>
  <si>
    <t xml:space="preserve"> Nelliston</t>
  </si>
  <si>
    <t>370466003350</t>
  </si>
  <si>
    <t xml:space="preserve"> Nelsonville</t>
  </si>
  <si>
    <t>080456703380</t>
  </si>
  <si>
    <t xml:space="preserve"> New Berlin</t>
  </si>
  <si>
    <t>300457403390</t>
  </si>
  <si>
    <t xml:space="preserve"> New Hartford</t>
  </si>
  <si>
    <t>390469803395</t>
  </si>
  <si>
    <t xml:space="preserve"> New Hempstead</t>
  </si>
  <si>
    <t>280459703400</t>
  </si>
  <si>
    <t xml:space="preserve"> New Hyde Park</t>
  </si>
  <si>
    <t>510457903410</t>
  </si>
  <si>
    <t xml:space="preserve"> New Paltz</t>
  </si>
  <si>
    <t>390469803425</t>
  </si>
  <si>
    <t xml:space="preserve"> New Square</t>
  </si>
  <si>
    <t>300490803430</t>
  </si>
  <si>
    <t xml:space="preserve"> New York Mills</t>
  </si>
  <si>
    <t>540402903360</t>
  </si>
  <si>
    <t xml:space="preserve"> Newark</t>
  </si>
  <si>
    <t>490456503370</t>
  </si>
  <si>
    <t xml:space="preserve"> Newark Valley</t>
  </si>
  <si>
    <t>210458003420</t>
  </si>
  <si>
    <t xml:space="preserve"> Newport</t>
  </si>
  <si>
    <t>490458503440</t>
  </si>
  <si>
    <t xml:space="preserve"> Nichols</t>
  </si>
  <si>
    <t>470478003450</t>
  </si>
  <si>
    <t xml:space="preserve"> Nissequogue</t>
  </si>
  <si>
    <t>140459103460</t>
  </si>
  <si>
    <t xml:space="preserve"> North Collins</t>
  </si>
  <si>
    <t>470478703470</t>
  </si>
  <si>
    <t xml:space="preserve"> North Haven</t>
  </si>
  <si>
    <t>280459703480</t>
  </si>
  <si>
    <t xml:space="preserve"> North Hills</t>
  </si>
  <si>
    <t>460440403490</t>
  </si>
  <si>
    <t xml:space="preserve"> North Hornell</t>
  </si>
  <si>
    <t>310417003520</t>
  </si>
  <si>
    <t xml:space="preserve"> North Syracuse</t>
  </si>
  <si>
    <t>470441103510</t>
  </si>
  <si>
    <t xml:space="preserve"> Northport</t>
  </si>
  <si>
    <t>170458903540</t>
  </si>
  <si>
    <t xml:space="preserve"> Northville</t>
  </si>
  <si>
    <t>400468403550</t>
  </si>
  <si>
    <t xml:space="preserve"> Norwood</t>
  </si>
  <si>
    <t>240460403560</t>
  </si>
  <si>
    <t xml:space="preserve"> Nunda</t>
  </si>
  <si>
    <t>390461503570</t>
  </si>
  <si>
    <t xml:space="preserve"> Nyack</t>
  </si>
  <si>
    <t>180460503580</t>
  </si>
  <si>
    <t xml:space="preserve"> Oakfield</t>
  </si>
  <si>
    <t>470442103590</t>
  </si>
  <si>
    <t xml:space="preserve"> Ocean Beach</t>
  </si>
  <si>
    <t>440413503600</t>
  </si>
  <si>
    <t xml:space="preserve"> Odessa</t>
  </si>
  <si>
    <t>280463403610</t>
  </si>
  <si>
    <t xml:space="preserve"> Old Brookville</t>
  </si>
  <si>
    <t>470409603620</t>
  </si>
  <si>
    <t xml:space="preserve"> Old Field</t>
  </si>
  <si>
    <t>280459703630</t>
  </si>
  <si>
    <t xml:space="preserve"> Old Westbury</t>
  </si>
  <si>
    <t>300485303640</t>
  </si>
  <si>
    <t xml:space="preserve"> Oneida Castle</t>
  </si>
  <si>
    <t>140461703650</t>
  </si>
  <si>
    <t xml:space="preserve"> Orchard Park</t>
  </si>
  <si>
    <t>300490803660</t>
  </si>
  <si>
    <t xml:space="preserve"> Oriskany</t>
  </si>
  <si>
    <t>300403803670</t>
  </si>
  <si>
    <t xml:space="preserve"> Oriskany Falls</t>
  </si>
  <si>
    <t>550462203680</t>
  </si>
  <si>
    <t xml:space="preserve"> Ossining</t>
  </si>
  <si>
    <t>360462503690</t>
  </si>
  <si>
    <t xml:space="preserve"> Otego</t>
  </si>
  <si>
    <t>330455403700</t>
  </si>
  <si>
    <t xml:space="preserve"> Otisville</t>
  </si>
  <si>
    <t>450463003710</t>
  </si>
  <si>
    <t xml:space="preserve"> Ovid</t>
  </si>
  <si>
    <t>490463203720</t>
  </si>
  <si>
    <t xml:space="preserve"> Owego</t>
  </si>
  <si>
    <t>080463303730</t>
  </si>
  <si>
    <t xml:space="preserve"> Oxford</t>
  </si>
  <si>
    <t>280463403740</t>
  </si>
  <si>
    <t xml:space="preserve"> Oyster Bay Cove</t>
  </si>
  <si>
    <t>460427303750</t>
  </si>
  <si>
    <t xml:space="preserve"> Painted Post</t>
  </si>
  <si>
    <t>270463503760</t>
  </si>
  <si>
    <t xml:space="preserve"> Palatine Bridge</t>
  </si>
  <si>
    <t>540463703770</t>
  </si>
  <si>
    <t xml:space="preserve"> Palmyra</t>
  </si>
  <si>
    <t>060437303780</t>
  </si>
  <si>
    <t xml:space="preserve"> Panama</t>
  </si>
  <si>
    <t>350464003790</t>
  </si>
  <si>
    <t xml:space="preserve"> Parish</t>
  </si>
  <si>
    <t>470409603800</t>
  </si>
  <si>
    <t xml:space="preserve"> Patchogue</t>
  </si>
  <si>
    <t>130464503810</t>
  </si>
  <si>
    <t xml:space="preserve"> Pawling</t>
  </si>
  <si>
    <t>550464603820</t>
  </si>
  <si>
    <t xml:space="preserve"> Pelham</t>
  </si>
  <si>
    <t>550464603830</t>
  </si>
  <si>
    <t xml:space="preserve"> Pelham Manor</t>
  </si>
  <si>
    <t>570453303840</t>
  </si>
  <si>
    <t xml:space="preserve"> Penn Yan</t>
  </si>
  <si>
    <t>560465103850</t>
  </si>
  <si>
    <t xml:space="preserve"> Perry</t>
  </si>
  <si>
    <t>320465803870</t>
  </si>
  <si>
    <t xml:space="preserve"> Phelps</t>
  </si>
  <si>
    <t>220465903880</t>
  </si>
  <si>
    <t xml:space="preserve"> Philadelphia</t>
  </si>
  <si>
    <t>100416903890</t>
  </si>
  <si>
    <t xml:space="preserve"> Philmont</t>
  </si>
  <si>
    <t>350475503900</t>
  </si>
  <si>
    <t xml:space="preserve"> Phoenix</t>
  </si>
  <si>
    <t>390461503910</t>
  </si>
  <si>
    <t xml:space="preserve"> Piermont</t>
  </si>
  <si>
    <t>260466903940</t>
  </si>
  <si>
    <t xml:space="preserve"> Pittsford</t>
  </si>
  <si>
    <t>280459703950</t>
  </si>
  <si>
    <t xml:space="preserve"> Plandome</t>
  </si>
  <si>
    <t>280459703960</t>
  </si>
  <si>
    <t xml:space="preserve"> Plandome Heights</t>
  </si>
  <si>
    <t>280459703970</t>
  </si>
  <si>
    <t xml:space="preserve"> Plandome Manor</t>
  </si>
  <si>
    <t>550455603980</t>
  </si>
  <si>
    <t xml:space="preserve"> Pleasantville</t>
  </si>
  <si>
    <t>210473203990</t>
  </si>
  <si>
    <t xml:space="preserve"> Poland</t>
  </si>
  <si>
    <t>390469803995</t>
  </si>
  <si>
    <t xml:space="preserve"> Pomona</t>
  </si>
  <si>
    <t>470409604000</t>
  </si>
  <si>
    <t xml:space="preserve"> Poquott</t>
  </si>
  <si>
    <t>050452304010</t>
  </si>
  <si>
    <t xml:space="preserve"> Port Byron</t>
  </si>
  <si>
    <t>550473404020</t>
  </si>
  <si>
    <t xml:space="preserve"> Port Chester</t>
  </si>
  <si>
    <t>030423504030</t>
  </si>
  <si>
    <t xml:space="preserve"> Port Dickinson</t>
  </si>
  <si>
    <t>470409604045</t>
  </si>
  <si>
    <t xml:space="preserve"> Port Jefferson</t>
  </si>
  <si>
    <t>230446604050</t>
  </si>
  <si>
    <t xml:space="preserve"> Port Leyden</t>
  </si>
  <si>
    <t>280459704070</t>
  </si>
  <si>
    <t xml:space="preserve"> Port Washington North</t>
  </si>
  <si>
    <t>040468304060</t>
  </si>
  <si>
    <t xml:space="preserve"> Portville</t>
  </si>
  <si>
    <t>400468404080</t>
  </si>
  <si>
    <t xml:space="preserve"> Potsdam</t>
  </si>
  <si>
    <t>350471004110</t>
  </si>
  <si>
    <t xml:space="preserve"> Pulaski</t>
  </si>
  <si>
    <t>470478704120</t>
  </si>
  <si>
    <t xml:space="preserve"> Quogue</t>
  </si>
  <si>
    <t>010418004140</t>
  </si>
  <si>
    <t xml:space="preserve"> Ravena</t>
  </si>
  <si>
    <t>540492204150</t>
  </si>
  <si>
    <t xml:space="preserve"> Red Creek</t>
  </si>
  <si>
    <t>130470304160</t>
  </si>
  <si>
    <t xml:space="preserve"> Red Hook</t>
  </si>
  <si>
    <t>300470504170</t>
  </si>
  <si>
    <t xml:space="preserve"> Remsen</t>
  </si>
  <si>
    <t>400412504180</t>
  </si>
  <si>
    <t xml:space="preserve"> Rensselaer Falls</t>
  </si>
  <si>
    <t>130470704190</t>
  </si>
  <si>
    <t xml:space="preserve"> Rhinebeck</t>
  </si>
  <si>
    <t>020407904200</t>
  </si>
  <si>
    <t xml:space="preserve"> Richburg</t>
  </si>
  <si>
    <t>360470804210</t>
  </si>
  <si>
    <t xml:space="preserve"> Richfield Springs</t>
  </si>
  <si>
    <t>430471204220</t>
  </si>
  <si>
    <t xml:space="preserve"> Richmondville</t>
  </si>
  <si>
    <t>400422504230</t>
  </si>
  <si>
    <t xml:space="preserve"> Richville</t>
  </si>
  <si>
    <t>460420104240</t>
  </si>
  <si>
    <t xml:space="preserve"> Riverside</t>
  </si>
  <si>
    <t>280438604250</t>
  </si>
  <si>
    <t xml:space="preserve"> Rockville Centre</t>
  </si>
  <si>
    <t>280459704270</t>
  </si>
  <si>
    <t xml:space="preserve"> Roslyn</t>
  </si>
  <si>
    <t>280459704280</t>
  </si>
  <si>
    <t xml:space="preserve"> Roslyn Estates</t>
  </si>
  <si>
    <t>280459704290</t>
  </si>
  <si>
    <t xml:space="preserve"> Roslyn Harbor</t>
  </si>
  <si>
    <t>410450104295</t>
  </si>
  <si>
    <t xml:space="preserve"> Round Lake</t>
  </si>
  <si>
    <t>090414404300</t>
  </si>
  <si>
    <t xml:space="preserve"> Rouses Point</t>
  </si>
  <si>
    <t>320433204310</t>
  </si>
  <si>
    <t xml:space="preserve"> Rushville</t>
  </si>
  <si>
    <t>280459704320</t>
  </si>
  <si>
    <t xml:space="preserve"> Russell Gardens</t>
  </si>
  <si>
    <t>550473404325</t>
  </si>
  <si>
    <t xml:space="preserve"> Rye Brook</t>
  </si>
  <si>
    <t>220440604330</t>
  </si>
  <si>
    <t xml:space="preserve"> Sackets Harbor</t>
  </si>
  <si>
    <t>280459704340</t>
  </si>
  <si>
    <t xml:space="preserve"> Saddle Rock</t>
  </si>
  <si>
    <t>470478704350</t>
  </si>
  <si>
    <t xml:space="preserve"> Sag Harbor</t>
  </si>
  <si>
    <t>470478704345</t>
  </si>
  <si>
    <t xml:space="preserve"> Sagaponack</t>
  </si>
  <si>
    <t>470442104380</t>
  </si>
  <si>
    <t xml:space="preserve"> Saltaire</t>
  </si>
  <si>
    <t>280459704390</t>
  </si>
  <si>
    <t xml:space="preserve"> Sands Point</t>
  </si>
  <si>
    <t>350474204400</t>
  </si>
  <si>
    <t xml:space="preserve"> Sandy Creek</t>
  </si>
  <si>
    <t>160437504410</t>
  </si>
  <si>
    <t xml:space="preserve"> Saranac Lake</t>
  </si>
  <si>
    <t>510474904420</t>
  </si>
  <si>
    <t xml:space="preserve"> Saugerties</t>
  </si>
  <si>
    <t>460405604440</t>
  </si>
  <si>
    <t xml:space="preserve"> Savona</t>
  </si>
  <si>
    <t>550475104450</t>
  </si>
  <si>
    <t xml:space="preserve"> Scarsdale</t>
  </si>
  <si>
    <t>380475204460</t>
  </si>
  <si>
    <t xml:space="preserve"> Schaghticoke</t>
  </si>
  <si>
    <t>430475404480</t>
  </si>
  <si>
    <t xml:space="preserve"> Schoharie</t>
  </si>
  <si>
    <t>410474704490</t>
  </si>
  <si>
    <t xml:space="preserve"> Schuylerville</t>
  </si>
  <si>
    <t>420433104500</t>
  </si>
  <si>
    <t xml:space="preserve"> Scotia</t>
  </si>
  <si>
    <t>260490404510</t>
  </si>
  <si>
    <t xml:space="preserve"> Scottsville</t>
  </si>
  <si>
    <t>280463404520</t>
  </si>
  <si>
    <t xml:space="preserve"> Sea Cliff</t>
  </si>
  <si>
    <t>430476904540</t>
  </si>
  <si>
    <t xml:space="preserve"> Sharon Springs</t>
  </si>
  <si>
    <t>080477404550</t>
  </si>
  <si>
    <t xml:space="preserve"> Sherburne</t>
  </si>
  <si>
    <t>060477604560</t>
  </si>
  <si>
    <t xml:space="preserve"> Sherman</t>
  </si>
  <si>
    <t>470409604570</t>
  </si>
  <si>
    <t xml:space="preserve"> Shoreham</t>
  </si>
  <si>
    <t>320450404580</t>
  </si>
  <si>
    <t xml:space="preserve"> Shortsville</t>
  </si>
  <si>
    <t>120477704590</t>
  </si>
  <si>
    <t xml:space="preserve"> Sidney</t>
  </si>
  <si>
    <t>060437004600</t>
  </si>
  <si>
    <t xml:space="preserve"> Silver Creek</t>
  </si>
  <si>
    <t>560431104610</t>
  </si>
  <si>
    <t xml:space="preserve"> Silver Springs</t>
  </si>
  <si>
    <t>060414604620</t>
  </si>
  <si>
    <t xml:space="preserve"> Sinclairville</t>
  </si>
  <si>
    <t>310477804630</t>
  </si>
  <si>
    <t xml:space="preserve"> Skaneateles</t>
  </si>
  <si>
    <t>550455604635</t>
  </si>
  <si>
    <t xml:space="preserve"> Sleepy Hollow</t>
  </si>
  <si>
    <t>140415204640</t>
  </si>
  <si>
    <t xml:space="preserve"> Sloan</t>
  </si>
  <si>
    <t>390469804650</t>
  </si>
  <si>
    <t xml:space="preserve"> Sloatsburg</t>
  </si>
  <si>
    <t>080478204660</t>
  </si>
  <si>
    <t xml:space="preserve"> Smyrna</t>
  </si>
  <si>
    <t>540478304670</t>
  </si>
  <si>
    <t xml:space="preserve"> Sodus</t>
  </si>
  <si>
    <t>540478304675</t>
  </si>
  <si>
    <t xml:space="preserve"> Sodus Point</t>
  </si>
  <si>
    <t>310431704680</t>
  </si>
  <si>
    <t xml:space="preserve"> Solvay</t>
  </si>
  <si>
    <t>330407804695</t>
  </si>
  <si>
    <t xml:space="preserve"> South Blooming Grove</t>
  </si>
  <si>
    <t>460420104700</t>
  </si>
  <si>
    <t xml:space="preserve"> South Corning</t>
  </si>
  <si>
    <t>040422104710</t>
  </si>
  <si>
    <t xml:space="preserve"> South Dayton</t>
  </si>
  <si>
    <t>280438604720</t>
  </si>
  <si>
    <t xml:space="preserve"> South Floral Park</t>
  </si>
  <si>
    <t>410454904730</t>
  </si>
  <si>
    <t xml:space="preserve"> South Glens Falls</t>
  </si>
  <si>
    <t>470478704690</t>
  </si>
  <si>
    <t xml:space="preserve"> Southampton</t>
  </si>
  <si>
    <t>200444704750</t>
  </si>
  <si>
    <t xml:space="preserve"> Speculator</t>
  </si>
  <si>
    <t>490479504760</t>
  </si>
  <si>
    <t xml:space="preserve"> Spencer</t>
  </si>
  <si>
    <t>260460604770</t>
  </si>
  <si>
    <t xml:space="preserve"> Spencerport</t>
  </si>
  <si>
    <t>390469804780</t>
  </si>
  <si>
    <t xml:space="preserve"> Spring Valley</t>
  </si>
  <si>
    <t>140419104790</t>
  </si>
  <si>
    <t xml:space="preserve"> Springville</t>
  </si>
  <si>
    <t>270473604360</t>
  </si>
  <si>
    <t xml:space="preserve"> St. Johnsville</t>
  </si>
  <si>
    <t>120480004800</t>
  </si>
  <si>
    <t xml:space="preserve"> Stamford</t>
  </si>
  <si>
    <t>280438604810</t>
  </si>
  <si>
    <t xml:space="preserve"> Stewart Manor</t>
  </si>
  <si>
    <t>410480704820</t>
  </si>
  <si>
    <t xml:space="preserve"> Stillwater</t>
  </si>
  <si>
    <t>390469804830</t>
  </si>
  <si>
    <t xml:space="preserve"> Suffern</t>
  </si>
  <si>
    <t>300485904835</t>
  </si>
  <si>
    <t xml:space="preserve"> Sylvan Beach</t>
  </si>
  <si>
    <t>190441004840</t>
  </si>
  <si>
    <t xml:space="preserve"> Tannersville</t>
  </si>
  <si>
    <t>550434204850</t>
  </si>
  <si>
    <t xml:space="preserve"> Tarrytown</t>
  </si>
  <si>
    <t>220482204860</t>
  </si>
  <si>
    <t xml:space="preserve"> Theresa</t>
  </si>
  <si>
    <t>280459704870</t>
  </si>
  <si>
    <t xml:space="preserve"> Thomaston</t>
  </si>
  <si>
    <t>130470304890</t>
  </si>
  <si>
    <t xml:space="preserve"> Tivoli</t>
  </si>
  <si>
    <t>500484404910</t>
  </si>
  <si>
    <t xml:space="preserve"> Trumansburg</t>
  </si>
  <si>
    <t>550424704920</t>
  </si>
  <si>
    <t xml:space="preserve"> Tuckahoe</t>
  </si>
  <si>
    <t>310483604930</t>
  </si>
  <si>
    <t xml:space="preserve"> Tully</t>
  </si>
  <si>
    <t>160401504940</t>
  </si>
  <si>
    <t xml:space="preserve"> Tupper Lake</t>
  </si>
  <si>
    <t>230483704950</t>
  </si>
  <si>
    <t xml:space="preserve"> Turin</t>
  </si>
  <si>
    <t>330484004955</t>
  </si>
  <si>
    <t xml:space="preserve"> Tuxedo Park</t>
  </si>
  <si>
    <t>360484504960</t>
  </si>
  <si>
    <t xml:space="preserve"> Unadilla</t>
  </si>
  <si>
    <t>050479704970</t>
  </si>
  <si>
    <t xml:space="preserve"> Union Springs</t>
  </si>
  <si>
    <t>330453904980</t>
  </si>
  <si>
    <t xml:space="preserve"> Unionville</t>
  </si>
  <si>
    <t>280463404990</t>
  </si>
  <si>
    <t xml:space="preserve"> Upper Brookville</t>
  </si>
  <si>
    <t>390416705000</t>
  </si>
  <si>
    <t xml:space="preserve"> Upper Nyack</t>
  </si>
  <si>
    <t>100443805010</t>
  </si>
  <si>
    <t xml:space="preserve"> Valatie</t>
  </si>
  <si>
    <t>380467005020</t>
  </si>
  <si>
    <t xml:space="preserve"> Valley Falls</t>
  </si>
  <si>
    <t>280438605030</t>
  </si>
  <si>
    <t xml:space="preserve"> Valley Stream</t>
  </si>
  <si>
    <t>300485305050</t>
  </si>
  <si>
    <t xml:space="preserve"> Vernon</t>
  </si>
  <si>
    <t>320485705060</t>
  </si>
  <si>
    <t xml:space="preserve"> Victor</t>
  </si>
  <si>
    <t>410474705070</t>
  </si>
  <si>
    <t xml:space="preserve"> Victory</t>
  </si>
  <si>
    <t>470478005080</t>
  </si>
  <si>
    <t xml:space="preserve">  The Branch</t>
  </si>
  <si>
    <t>010458105090</t>
  </si>
  <si>
    <t xml:space="preserve"> Voorheesville</t>
  </si>
  <si>
    <t>400486305100</t>
  </si>
  <si>
    <t xml:space="preserve"> Waddington</t>
  </si>
  <si>
    <t>330454505110</t>
  </si>
  <si>
    <t xml:space="preserve"> Walden</t>
  </si>
  <si>
    <t>120486605120</t>
  </si>
  <si>
    <t xml:space="preserve"> Walton</t>
  </si>
  <si>
    <t>250445705130</t>
  </si>
  <si>
    <t xml:space="preserve"> Wampsville</t>
  </si>
  <si>
    <t>130486805140</t>
  </si>
  <si>
    <t xml:space="preserve"> Wappingers Falls</t>
  </si>
  <si>
    <t>560487205150</t>
  </si>
  <si>
    <t xml:space="preserve"> Warsaw</t>
  </si>
  <si>
    <t>330487305160</t>
  </si>
  <si>
    <t xml:space="preserve"> Warwick</t>
  </si>
  <si>
    <t>330407805170</t>
  </si>
  <si>
    <t xml:space="preserve"> Washingtonville</t>
  </si>
  <si>
    <t>410487505180</t>
  </si>
  <si>
    <t xml:space="preserve"> Waterford</t>
  </si>
  <si>
    <t>450487605190</t>
  </si>
  <si>
    <t xml:space="preserve"> Waterloo</t>
  </si>
  <si>
    <t>300474405200</t>
  </si>
  <si>
    <t xml:space="preserve"> Waterville</t>
  </si>
  <si>
    <t>440423705210</t>
  </si>
  <si>
    <t xml:space="preserve"> Watkins Glen</t>
  </si>
  <si>
    <t>490405405220</t>
  </si>
  <si>
    <t xml:space="preserve"> Waverly</t>
  </si>
  <si>
    <t>460488205230</t>
  </si>
  <si>
    <t xml:space="preserve"> Wayland</t>
  </si>
  <si>
    <t>260488505240</t>
  </si>
  <si>
    <t xml:space="preserve"> Webster</t>
  </si>
  <si>
    <t>050410005250</t>
  </si>
  <si>
    <t xml:space="preserve"> Weedsport</t>
  </si>
  <si>
    <t>070403405260</t>
  </si>
  <si>
    <t xml:space="preserve"> Wellsburg</t>
  </si>
  <si>
    <t>020488705270</t>
  </si>
  <si>
    <t xml:space="preserve"> Wellsville</t>
  </si>
  <si>
    <t>390469805275</t>
  </si>
  <si>
    <t xml:space="preserve"> Wesley Hills</t>
  </si>
  <si>
    <t>220414305290</t>
  </si>
  <si>
    <t xml:space="preserve"> West Carthage</t>
  </si>
  <si>
    <t>470478705315</t>
  </si>
  <si>
    <t xml:space="preserve"> West Hampton Dunes</t>
  </si>
  <si>
    <t>390438305320</t>
  </si>
  <si>
    <t xml:space="preserve"> West Haverstraw</t>
  </si>
  <si>
    <t>210492005340</t>
  </si>
  <si>
    <t xml:space="preserve"> West Winfield</t>
  </si>
  <si>
    <t>280459705280</t>
  </si>
  <si>
    <t xml:space="preserve"> Westbury</t>
  </si>
  <si>
    <t>060489205300</t>
  </si>
  <si>
    <t xml:space="preserve"> Westfield</t>
  </si>
  <si>
    <t>470478705310</t>
  </si>
  <si>
    <t xml:space="preserve"> Westhampton Beach</t>
  </si>
  <si>
    <t>530490705350</t>
  </si>
  <si>
    <t xml:space="preserve"> Whitehall</t>
  </si>
  <si>
    <t>300490805360</t>
  </si>
  <si>
    <t xml:space="preserve"> Whitesboro</t>
  </si>
  <si>
    <t>030483305370</t>
  </si>
  <si>
    <t xml:space="preserve"> Whitney Point</t>
  </si>
  <si>
    <t>140401905380</t>
  </si>
  <si>
    <t xml:space="preserve"> Williamsville</t>
  </si>
  <si>
    <t>280459705390</t>
  </si>
  <si>
    <t xml:space="preserve"> Williston Park</t>
  </si>
  <si>
    <t>290491605400</t>
  </si>
  <si>
    <t xml:space="preserve"> Wilson</t>
  </si>
  <si>
    <t>030491905410</t>
  </si>
  <si>
    <t xml:space="preserve"> Windsor</t>
  </si>
  <si>
    <t>540492205420</t>
  </si>
  <si>
    <t xml:space="preserve"> Wolcott</t>
  </si>
  <si>
    <t>330492305435</t>
  </si>
  <si>
    <t xml:space="preserve"> Woodbury</t>
  </si>
  <si>
    <t>480428105440</t>
  </si>
  <si>
    <t xml:space="preserve"> Woodridge</t>
  </si>
  <si>
    <t>280438605450</t>
  </si>
  <si>
    <t xml:space="preserve"> Woodsburgh</t>
  </si>
  <si>
    <t>480450205460</t>
  </si>
  <si>
    <t xml:space="preserve"> Wurtsboro</t>
  </si>
  <si>
    <t>560452705470</t>
  </si>
  <si>
    <t xml:space="preserve"> Wyoming</t>
  </si>
  <si>
    <t>300490805480</t>
  </si>
  <si>
    <t xml:space="preserve"> Yorkville</t>
  </si>
  <si>
    <t>290468105490</t>
  </si>
  <si>
    <t xml:space="preserve"> Youngstown</t>
  </si>
  <si>
    <t>010100000000</t>
  </si>
  <si>
    <t>020100000000</t>
  </si>
  <si>
    <t>030100000000</t>
  </si>
  <si>
    <t>040100000000</t>
  </si>
  <si>
    <t>050100000000</t>
  </si>
  <si>
    <t>060100000000</t>
  </si>
  <si>
    <t>070100000000</t>
  </si>
  <si>
    <t>080100000000</t>
  </si>
  <si>
    <t>090100000000</t>
  </si>
  <si>
    <t>100100000000</t>
  </si>
  <si>
    <t>110100000000</t>
  </si>
  <si>
    <t>120100000000</t>
  </si>
  <si>
    <t>130100000000</t>
  </si>
  <si>
    <t>140100000000</t>
  </si>
  <si>
    <t>150100000000</t>
  </si>
  <si>
    <t>160100000000</t>
  </si>
  <si>
    <t>170100000000</t>
  </si>
  <si>
    <t>180100000000</t>
  </si>
  <si>
    <t>190100000000</t>
  </si>
  <si>
    <t>200100000000</t>
  </si>
  <si>
    <t>210100000000</t>
  </si>
  <si>
    <t>220100000000</t>
  </si>
  <si>
    <t>230100000000</t>
  </si>
  <si>
    <t>240100000000</t>
  </si>
  <si>
    <t>250100000000</t>
  </si>
  <si>
    <t>260100000000</t>
  </si>
  <si>
    <t>270100000000</t>
  </si>
  <si>
    <t>280100000000</t>
  </si>
  <si>
    <t>290100000000</t>
  </si>
  <si>
    <t>300100000000</t>
  </si>
  <si>
    <t>310100000000</t>
  </si>
  <si>
    <t>320100000000</t>
  </si>
  <si>
    <t>330100000000</t>
  </si>
  <si>
    <t>340100000000</t>
  </si>
  <si>
    <t>350100000000</t>
  </si>
  <si>
    <t>360100000000</t>
  </si>
  <si>
    <t>370100000000</t>
  </si>
  <si>
    <t>380100000000</t>
  </si>
  <si>
    <t>390100000000</t>
  </si>
  <si>
    <t>410100000000</t>
  </si>
  <si>
    <t>420100000000</t>
  </si>
  <si>
    <t>430100000000</t>
  </si>
  <si>
    <t>440100000000</t>
  </si>
  <si>
    <t>450100000000</t>
  </si>
  <si>
    <t>400100000000</t>
  </si>
  <si>
    <t>460100000000</t>
  </si>
  <si>
    <t>470100000000</t>
  </si>
  <si>
    <t>480100000000</t>
  </si>
  <si>
    <t>490100000000</t>
  </si>
  <si>
    <t>500100000000</t>
  </si>
  <si>
    <t>510100000000</t>
  </si>
  <si>
    <t>520100000000</t>
  </si>
  <si>
    <t>530100000000</t>
  </si>
  <si>
    <t>540100000000</t>
  </si>
  <si>
    <t>550100000000</t>
  </si>
  <si>
    <t>560100000000</t>
  </si>
  <si>
    <t>570100000000</t>
  </si>
  <si>
    <t>city</t>
  </si>
  <si>
    <t>town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</si>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</sst>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 style="thin">
        <color indexed="64"/>
      </right>
      <top style="medium">
        <color indexed="64"/>
      </top>
      <bottom/>
      <diagonal/>
    </border>
    <border>
      <left style="thin">
        <color rgb="FF979991"/>
      </left>
      <right style="thin">
        <color indexed="64"/>
      </right>
      <top style="thin">
        <color rgb="FF979991"/>
      </top>
      <bottom style="thin">
        <color rgb="FF979991"/>
      </bottom>
      <diagonal/>
    </border>
    <border>
      <left/>
      <right style="thin">
        <color indexed="64"/>
      </right>
      <top/>
      <bottom/>
      <diagonal/>
    </border>
    <border>
      <left style="thin">
        <color rgb="FF97999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79991"/>
      </top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rgb="FF979991"/>
      </top>
      <bottom style="thin">
        <color rgb="FF97999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0" fontId="1" fillId="3" borderId="2" xfId="1" applyFill="1" applyBorder="1" applyAlignment="1">
      <alignment horizontal="left" vertical="top" wrapText="1"/>
    </xf>
    <xf numFmtId="3" fontId="1" fillId="3" borderId="2" xfId="1" applyNumberFormat="1" applyFill="1" applyBorder="1" applyAlignment="1">
      <alignment horizontal="right" vertical="top" wrapText="1"/>
    </xf>
    <xf numFmtId="164" fontId="1" fillId="3" borderId="2" xfId="1" applyNumberFormat="1" applyFill="1" applyBorder="1" applyAlignment="1">
      <alignment horizontal="right" vertical="top" wrapText="1"/>
    </xf>
    <xf numFmtId="165" fontId="1" fillId="3" borderId="2" xfId="1" applyNumberFormat="1" applyFill="1" applyBorder="1" applyAlignment="1">
      <alignment horizontal="right" vertical="top" wrapText="1"/>
    </xf>
    <xf numFmtId="10" fontId="1" fillId="3" borderId="2" xfId="1" applyNumberFormat="1" applyFill="1" applyBorder="1" applyAlignment="1">
      <alignment horizontal="right" vertical="top" wrapText="1"/>
    </xf>
    <xf numFmtId="0" fontId="2" fillId="2" borderId="3" xfId="1" applyFont="1" applyFill="1" applyBorder="1" applyAlignment="1">
      <alignment horizontal="left" vertical="top" wrapText="1"/>
    </xf>
    <xf numFmtId="165" fontId="2" fillId="2" borderId="3" xfId="1" applyNumberFormat="1" applyFont="1" applyFill="1" applyBorder="1" applyAlignment="1">
      <alignment horizontal="left" vertical="top" wrapText="1"/>
    </xf>
    <xf numFmtId="10" fontId="2" fillId="2" borderId="3" xfId="1" applyNumberFormat="1" applyFont="1" applyFill="1" applyBorder="1" applyAlignment="1">
      <alignment horizontal="left" vertical="top" wrapText="1"/>
    </xf>
    <xf numFmtId="165" fontId="2" fillId="2" borderId="4" xfId="1" applyNumberFormat="1" applyFont="1" applyFill="1" applyBorder="1" applyAlignment="1">
      <alignment horizontal="left" vertical="top" wrapText="1"/>
    </xf>
    <xf numFmtId="165" fontId="1" fillId="3" borderId="5" xfId="1" applyNumberFormat="1" applyFill="1" applyBorder="1" applyAlignment="1">
      <alignment horizontal="right" vertical="top" wrapText="1"/>
    </xf>
    <xf numFmtId="1" fontId="2" fillId="2" borderId="7" xfId="1" applyNumberFormat="1" applyFont="1" applyFill="1" applyBorder="1" applyAlignment="1">
      <alignment horizontal="left" vertical="top" wrapText="1"/>
    </xf>
    <xf numFmtId="1" fontId="1" fillId="3" borderId="5" xfId="1" applyNumberFormat="1" applyFill="1" applyBorder="1" applyAlignment="1">
      <alignment horizontal="right" vertical="top" wrapText="1"/>
    </xf>
    <xf numFmtId="1" fontId="0" fillId="0" borderId="6" xfId="0" applyNumberFormat="1" applyBorder="1"/>
    <xf numFmtId="0" fontId="0" fillId="0" borderId="8" xfId="0" applyBorder="1"/>
    <xf numFmtId="0" fontId="1" fillId="3" borderId="9" xfId="1" applyFill="1" applyBorder="1" applyAlignment="1">
      <alignment horizontal="left" vertical="top" wrapText="1"/>
    </xf>
    <xf numFmtId="0" fontId="1" fillId="3" borderId="8" xfId="1" applyFill="1" applyBorder="1" applyAlignment="1">
      <alignment horizontal="left" vertical="top" wrapText="1"/>
    </xf>
    <xf numFmtId="1" fontId="1" fillId="3" borderId="10" xfId="1" applyNumberFormat="1" applyFill="1" applyBorder="1" applyAlignment="1">
      <alignment horizontal="right" vertical="top" wrapText="1"/>
    </xf>
    <xf numFmtId="49" fontId="2" fillId="2" borderId="3" xfId="1" applyNumberFormat="1" applyFont="1" applyFill="1" applyBorder="1" applyAlignment="1">
      <alignment horizontal="left" vertical="top" wrapText="1"/>
    </xf>
    <xf numFmtId="49" fontId="1" fillId="3" borderId="2" xfId="1" applyNumberFormat="1" applyFill="1" applyBorder="1" applyAlignment="1">
      <alignment horizontal="left" vertical="top" wrapText="1"/>
    </xf>
    <xf numFmtId="49" fontId="0" fillId="0" borderId="0" xfId="0" applyNumberFormat="1"/>
  </cellXfs>
  <cellStyles count="2">
    <cellStyle name="Normal" xfId="0" builtinId="0"/>
    <cellStyle name="Normal 2" xfId="1" xr:uid="{507AD847-1B1F-4F5A-AF35-0E5BFECA10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sites/SeeThroughNY/Shared%20Documents/SeeThroughNY/Reference/Match%20Files/Official%20Match%20Files/Region%20Match%20Document%20(Counties,%20Cities,%20Towns,%20Villages).xlsx" TargetMode="External"/><Relationship Id="rId2" Type="http://schemas.openxmlformats.org/officeDocument/2006/relationships/externalLinkPath" Target="https://empireconfiguration.sharepoint.com/sites/SeeThroughNY/Shared%20Documents/SeeThroughNY/Reference/Match%20Files/Official%20Match%20Files/Region%20Match%20Document%20(Counties,%20Cities,%20Towns,%20Villages).xlsx" TargetMode="External"/><Relationship Id="rId1" Type="http://schemas.openxmlformats.org/officeDocument/2006/relationships/externalLinkPath" Target="/sites/SeeThroughNY/Shared%20Documents/SeeThroughNY/Reference/Match%20Files/Official%20Match%20Files/Region%20Match%20Document%20(Counties,%20Cities,%20Towns,%20Village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ces&amp;Counties"/>
      <sheetName val="Counties"/>
      <sheetName val="Community College"/>
      <sheetName val="Cities"/>
      <sheetName val="Fire Districts"/>
      <sheetName val="Towns"/>
      <sheetName val="Villages"/>
      <sheetName val="Location Code Match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>Albany</v>
          </cell>
          <cell r="D2" t="str">
            <v>Capital</v>
          </cell>
          <cell r="E2" t="str">
            <v>Upstate</v>
          </cell>
        </row>
        <row r="3">
          <cell r="B3" t="str">
            <v>Amsterdam</v>
          </cell>
          <cell r="D3" t="str">
            <v>Mohawk Valley</v>
          </cell>
          <cell r="E3" t="str">
            <v>Upstate</v>
          </cell>
        </row>
        <row r="4">
          <cell r="B4" t="str">
            <v>Auburn</v>
          </cell>
          <cell r="D4" t="str">
            <v>Central New York</v>
          </cell>
          <cell r="E4" t="str">
            <v>Upstate</v>
          </cell>
        </row>
        <row r="5">
          <cell r="B5" t="str">
            <v>Batavia</v>
          </cell>
          <cell r="D5" t="str">
            <v>Finger Lakes</v>
          </cell>
          <cell r="E5" t="str">
            <v>Upstate</v>
          </cell>
        </row>
        <row r="6">
          <cell r="B6" t="str">
            <v>Beacon</v>
          </cell>
          <cell r="D6" t="str">
            <v>Mid-Hudson</v>
          </cell>
          <cell r="E6" t="str">
            <v>Downstate</v>
          </cell>
        </row>
        <row r="7">
          <cell r="B7" t="str">
            <v>Binghamton</v>
          </cell>
          <cell r="D7" t="str">
            <v>Southern Tier</v>
          </cell>
          <cell r="E7" t="str">
            <v>Upstate</v>
          </cell>
        </row>
        <row r="8">
          <cell r="B8" t="str">
            <v>Buffalo</v>
          </cell>
          <cell r="D8" t="str">
            <v>Western New York</v>
          </cell>
          <cell r="E8" t="str">
            <v>Upstate</v>
          </cell>
        </row>
        <row r="9">
          <cell r="B9" t="str">
            <v>Canandaigua</v>
          </cell>
          <cell r="D9" t="str">
            <v>Finger Lakes</v>
          </cell>
          <cell r="E9" t="str">
            <v>Upstate</v>
          </cell>
        </row>
        <row r="10">
          <cell r="B10" t="str">
            <v>Cohoes</v>
          </cell>
          <cell r="D10" t="str">
            <v>Capital</v>
          </cell>
          <cell r="E10" t="str">
            <v>Upstate</v>
          </cell>
        </row>
        <row r="11">
          <cell r="B11" t="str">
            <v>Corning</v>
          </cell>
          <cell r="D11" t="str">
            <v>Southern Tier</v>
          </cell>
          <cell r="E11" t="str">
            <v>Upstate</v>
          </cell>
        </row>
        <row r="12">
          <cell r="B12" t="str">
            <v>Cortland</v>
          </cell>
          <cell r="D12" t="str">
            <v>Central New York</v>
          </cell>
          <cell r="E12" t="str">
            <v>Upstate</v>
          </cell>
        </row>
        <row r="13">
          <cell r="B13" t="str">
            <v>Dunkirk</v>
          </cell>
          <cell r="D13" t="str">
            <v>Western New York</v>
          </cell>
          <cell r="E13" t="str">
            <v>Upstate</v>
          </cell>
        </row>
        <row r="14">
          <cell r="B14" t="str">
            <v>Elmira</v>
          </cell>
          <cell r="D14" t="str">
            <v>Southern Tier</v>
          </cell>
          <cell r="E14" t="str">
            <v>Upstate</v>
          </cell>
        </row>
        <row r="15">
          <cell r="B15" t="str">
            <v>Fulton</v>
          </cell>
          <cell r="D15" t="str">
            <v>Central New York</v>
          </cell>
          <cell r="E15" t="str">
            <v>Upstate</v>
          </cell>
        </row>
        <row r="16">
          <cell r="B16" t="str">
            <v>Geneva</v>
          </cell>
          <cell r="D16" t="str">
            <v>Finger Lakes</v>
          </cell>
          <cell r="E16" t="str">
            <v>Upstate</v>
          </cell>
        </row>
        <row r="17">
          <cell r="B17" t="str">
            <v>Glen Cove</v>
          </cell>
          <cell r="D17" t="str">
            <v>Long Island</v>
          </cell>
          <cell r="E17" t="str">
            <v>Downstate</v>
          </cell>
        </row>
        <row r="18">
          <cell r="B18" t="str">
            <v>Glens Falls</v>
          </cell>
          <cell r="D18" t="str">
            <v>Capital</v>
          </cell>
          <cell r="E18" t="str">
            <v>Upstate</v>
          </cell>
        </row>
        <row r="19">
          <cell r="B19" t="str">
            <v>Gloversville</v>
          </cell>
          <cell r="D19" t="str">
            <v>Mohawk Valley</v>
          </cell>
          <cell r="E19" t="str">
            <v>Upstate</v>
          </cell>
        </row>
        <row r="20">
          <cell r="B20" t="str">
            <v>Hornell</v>
          </cell>
          <cell r="D20" t="str">
            <v>Southern Tier</v>
          </cell>
          <cell r="E20" t="str">
            <v>Upstate</v>
          </cell>
        </row>
        <row r="21">
          <cell r="B21" t="str">
            <v>Hudson</v>
          </cell>
          <cell r="D21" t="str">
            <v>Capital</v>
          </cell>
          <cell r="E21" t="str">
            <v>Upstate</v>
          </cell>
        </row>
        <row r="22">
          <cell r="B22" t="str">
            <v>Ithaca</v>
          </cell>
          <cell r="D22" t="str">
            <v>Southern Tier</v>
          </cell>
          <cell r="E22" t="str">
            <v>Upstate</v>
          </cell>
        </row>
        <row r="23">
          <cell r="B23" t="str">
            <v>Jamestown</v>
          </cell>
          <cell r="D23" t="str">
            <v>Western New York</v>
          </cell>
          <cell r="E23" t="str">
            <v>Upstate</v>
          </cell>
        </row>
        <row r="24">
          <cell r="B24" t="str">
            <v>Johnstown</v>
          </cell>
          <cell r="D24" t="str">
            <v>Mohawk Valley</v>
          </cell>
          <cell r="E24" t="str">
            <v>Upstate</v>
          </cell>
        </row>
        <row r="25">
          <cell r="B25" t="str">
            <v>Kingston</v>
          </cell>
          <cell r="D25" t="str">
            <v>Mid-Hudson</v>
          </cell>
          <cell r="E25" t="str">
            <v>Downstate</v>
          </cell>
        </row>
        <row r="26">
          <cell r="B26" t="str">
            <v>Lackawanna</v>
          </cell>
          <cell r="D26" t="str">
            <v>Western New York</v>
          </cell>
          <cell r="E26" t="str">
            <v>Upstate</v>
          </cell>
        </row>
        <row r="27">
          <cell r="B27" t="str">
            <v>Little Falls</v>
          </cell>
          <cell r="D27" t="str">
            <v>Mohawk Valley</v>
          </cell>
          <cell r="E27" t="str">
            <v>Upstate</v>
          </cell>
        </row>
        <row r="28">
          <cell r="B28" t="str">
            <v>Lockport</v>
          </cell>
          <cell r="D28" t="str">
            <v>Western New York</v>
          </cell>
          <cell r="E28" t="str">
            <v>Upstate</v>
          </cell>
        </row>
        <row r="29">
          <cell r="B29" t="str">
            <v>Long Beach</v>
          </cell>
          <cell r="D29" t="str">
            <v>Long Island</v>
          </cell>
          <cell r="E29" t="str">
            <v>Downstate</v>
          </cell>
        </row>
        <row r="30">
          <cell r="B30" t="str">
            <v>Mechanicville</v>
          </cell>
          <cell r="D30" t="str">
            <v>Capital</v>
          </cell>
          <cell r="E30" t="str">
            <v>Upstate</v>
          </cell>
        </row>
        <row r="31">
          <cell r="B31" t="str">
            <v>Middletown</v>
          </cell>
          <cell r="D31" t="str">
            <v>Mid-Hudson</v>
          </cell>
          <cell r="E31" t="str">
            <v>Downstate</v>
          </cell>
        </row>
        <row r="32">
          <cell r="B32" t="str">
            <v>Mount Vernon</v>
          </cell>
          <cell r="D32" t="str">
            <v>Mid-Hudson</v>
          </cell>
          <cell r="E32" t="str">
            <v>Downstate</v>
          </cell>
        </row>
        <row r="33">
          <cell r="B33" t="str">
            <v>New Rochelle</v>
          </cell>
          <cell r="D33" t="str">
            <v>Mid-Hudson</v>
          </cell>
          <cell r="E33" t="str">
            <v>Downstate</v>
          </cell>
        </row>
        <row r="34">
          <cell r="B34" t="str">
            <v>New York</v>
          </cell>
          <cell r="D34" t="e">
            <v>#N/A</v>
          </cell>
          <cell r="E34" t="str">
            <v>New York City</v>
          </cell>
        </row>
        <row r="35">
          <cell r="B35" t="str">
            <v>Newburgh</v>
          </cell>
          <cell r="D35" t="str">
            <v>Mid-Hudson</v>
          </cell>
          <cell r="E35" t="str">
            <v>Downstate</v>
          </cell>
        </row>
        <row r="36">
          <cell r="B36" t="str">
            <v>Niagara Falls</v>
          </cell>
          <cell r="D36" t="str">
            <v>Western New York</v>
          </cell>
          <cell r="E36" t="str">
            <v>Upstate</v>
          </cell>
        </row>
        <row r="37">
          <cell r="B37" t="str">
            <v>North Tonawanda</v>
          </cell>
          <cell r="D37" t="str">
            <v>Western New York</v>
          </cell>
          <cell r="E37" t="str">
            <v>Upstate</v>
          </cell>
        </row>
        <row r="38">
          <cell r="B38" t="str">
            <v>Norwich</v>
          </cell>
          <cell r="D38" t="str">
            <v>Southern Tier</v>
          </cell>
          <cell r="E38" t="str">
            <v>Upstate</v>
          </cell>
        </row>
        <row r="39">
          <cell r="B39" t="str">
            <v>Ogdensburg</v>
          </cell>
          <cell r="D39" t="str">
            <v>North Country</v>
          </cell>
          <cell r="E39" t="str">
            <v>Upstate</v>
          </cell>
        </row>
        <row r="40">
          <cell r="B40" t="str">
            <v>Olean</v>
          </cell>
          <cell r="D40" t="str">
            <v>Western New York</v>
          </cell>
          <cell r="E40" t="str">
            <v>Upstate</v>
          </cell>
        </row>
        <row r="41">
          <cell r="B41" t="str">
            <v>Oneida</v>
          </cell>
          <cell r="D41" t="str">
            <v>Central New York</v>
          </cell>
          <cell r="E41" t="str">
            <v>Upstate</v>
          </cell>
        </row>
        <row r="42">
          <cell r="B42" t="str">
            <v>Oneonta</v>
          </cell>
          <cell r="D42" t="str">
            <v>Southern Tier</v>
          </cell>
          <cell r="E42" t="str">
            <v>Upstate</v>
          </cell>
        </row>
        <row r="43">
          <cell r="B43" t="str">
            <v>Oswego</v>
          </cell>
          <cell r="D43" t="str">
            <v>Central New York</v>
          </cell>
          <cell r="E43" t="str">
            <v>Upstate</v>
          </cell>
        </row>
        <row r="44">
          <cell r="B44" t="str">
            <v>Peekskill</v>
          </cell>
          <cell r="D44" t="str">
            <v>Mid-Hudson</v>
          </cell>
          <cell r="E44" t="str">
            <v>Downstate</v>
          </cell>
        </row>
        <row r="45">
          <cell r="B45" t="str">
            <v>Plattsburgh</v>
          </cell>
          <cell r="D45" t="str">
            <v>North Country</v>
          </cell>
          <cell r="E45" t="str">
            <v>Upstate</v>
          </cell>
        </row>
        <row r="46">
          <cell r="B46" t="str">
            <v>Port Jervis</v>
          </cell>
          <cell r="D46" t="str">
            <v>Mid-Hudson</v>
          </cell>
          <cell r="E46" t="str">
            <v>Downstate</v>
          </cell>
        </row>
        <row r="47">
          <cell r="B47" t="str">
            <v>Poughkeepsie</v>
          </cell>
          <cell r="D47" t="str">
            <v>Mid-Hudson</v>
          </cell>
          <cell r="E47" t="str">
            <v>Downstate</v>
          </cell>
        </row>
        <row r="48">
          <cell r="B48" t="str">
            <v>Rensselaer</v>
          </cell>
          <cell r="D48" t="str">
            <v>Capital</v>
          </cell>
          <cell r="E48" t="str">
            <v>Upstate</v>
          </cell>
        </row>
        <row r="49">
          <cell r="B49" t="str">
            <v>Rochester</v>
          </cell>
          <cell r="D49" t="str">
            <v>Finger Lakes</v>
          </cell>
          <cell r="E49" t="str">
            <v>Upstate</v>
          </cell>
        </row>
        <row r="50">
          <cell r="B50" t="str">
            <v>Rome</v>
          </cell>
          <cell r="D50" t="str">
            <v>Mohawk Valley</v>
          </cell>
          <cell r="E50" t="str">
            <v>Upstate</v>
          </cell>
        </row>
        <row r="51">
          <cell r="B51" t="str">
            <v>Rye</v>
          </cell>
          <cell r="D51" t="str">
            <v>Mid-Hudson</v>
          </cell>
          <cell r="E51" t="str">
            <v>Downstate</v>
          </cell>
        </row>
        <row r="52">
          <cell r="B52" t="str">
            <v>Salamanca</v>
          </cell>
          <cell r="D52" t="str">
            <v>Western New York</v>
          </cell>
          <cell r="E52" t="str">
            <v>Upstate</v>
          </cell>
        </row>
        <row r="53">
          <cell r="B53" t="str">
            <v>Saratoga Springs</v>
          </cell>
          <cell r="D53" t="str">
            <v>Capital</v>
          </cell>
          <cell r="E53" t="str">
            <v>Upstate</v>
          </cell>
        </row>
        <row r="54">
          <cell r="B54" t="str">
            <v>Schenectady</v>
          </cell>
          <cell r="D54" t="str">
            <v>Capital</v>
          </cell>
          <cell r="E54" t="str">
            <v>Upstate</v>
          </cell>
        </row>
        <row r="55">
          <cell r="B55" t="str">
            <v>Sherrill</v>
          </cell>
          <cell r="D55" t="str">
            <v>Mohawk Valley</v>
          </cell>
          <cell r="E55" t="str">
            <v>Upstate</v>
          </cell>
        </row>
        <row r="56">
          <cell r="B56" t="str">
            <v>Syracuse</v>
          </cell>
          <cell r="D56" t="str">
            <v>Central New York</v>
          </cell>
          <cell r="E56" t="str">
            <v>Upstate</v>
          </cell>
        </row>
        <row r="57">
          <cell r="B57" t="str">
            <v>Tonawanda</v>
          </cell>
          <cell r="D57" t="str">
            <v>Western New York</v>
          </cell>
          <cell r="E57" t="str">
            <v>Upstate</v>
          </cell>
        </row>
        <row r="58">
          <cell r="B58" t="str">
            <v>Troy</v>
          </cell>
          <cell r="D58" t="str">
            <v>Capital</v>
          </cell>
          <cell r="E58" t="str">
            <v>Upstate</v>
          </cell>
        </row>
        <row r="59">
          <cell r="B59" t="str">
            <v>Utica</v>
          </cell>
          <cell r="D59" t="str">
            <v>Mohawk Valley</v>
          </cell>
          <cell r="E59" t="str">
            <v>Upstate</v>
          </cell>
        </row>
        <row r="60">
          <cell r="B60" t="str">
            <v>Watertown</v>
          </cell>
          <cell r="D60" t="str">
            <v>North Country</v>
          </cell>
          <cell r="E60" t="str">
            <v>Upstate</v>
          </cell>
        </row>
        <row r="61">
          <cell r="B61" t="str">
            <v>Watervliet</v>
          </cell>
          <cell r="D61" t="str">
            <v>Capital</v>
          </cell>
          <cell r="E61" t="str">
            <v>Upstate</v>
          </cell>
        </row>
        <row r="62">
          <cell r="B62" t="str">
            <v>White Plains</v>
          </cell>
          <cell r="D62" t="str">
            <v>Mid-Hudson</v>
          </cell>
          <cell r="E62" t="str">
            <v>Downstate</v>
          </cell>
        </row>
        <row r="63">
          <cell r="B63" t="str">
            <v>Yonkers</v>
          </cell>
          <cell r="D63" t="str">
            <v>Mid-Hudson</v>
          </cell>
          <cell r="E63" t="str">
            <v>Downstate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1C88-67D6-4CCF-926C-D107CF17FDC1}">
  <dimension ref="A1:O1584"/>
  <sheetViews>
    <sheetView tabSelected="1" workbookViewId="0">
      <selection sqref="A1:A1048576"/>
    </sheetView>
  </sheetViews>
  <sheetFormatPr defaultRowHeight="14.5" customHeight="1" x14ac:dyDescent="0.35"/>
  <cols>
    <col min="1" max="1" width="16.26953125" style="21" customWidth="1"/>
    <col min="2" max="3" width="17" customWidth="1"/>
    <col min="4" max="4" width="14.54296875" customWidth="1"/>
    <col min="5" max="5" width="17.36328125" customWidth="1"/>
    <col min="6" max="6" width="12.54296875" customWidth="1"/>
    <col min="7" max="7" width="11.81640625" customWidth="1"/>
    <col min="8" max="8" width="11.6328125" customWidth="1"/>
    <col min="9" max="9" width="11.36328125" customWidth="1"/>
    <col min="10" max="10" width="13.90625" customWidth="1"/>
    <col min="11" max="11" width="16.08984375" customWidth="1"/>
    <col min="12" max="12" width="12.81640625" customWidth="1"/>
    <col min="13" max="13" width="12.36328125" customWidth="1"/>
    <col min="14" max="14" width="12.54296875" customWidth="1"/>
    <col min="15" max="15" width="11.6328125" style="14" customWidth="1"/>
  </cols>
  <sheetData>
    <row r="1" spans="1:15" ht="35" customHeight="1" x14ac:dyDescent="0.35">
      <c r="A1" s="19" t="s">
        <v>152</v>
      </c>
      <c r="B1" s="7" t="s">
        <v>153</v>
      </c>
      <c r="C1" s="7" t="s">
        <v>164</v>
      </c>
      <c r="D1" s="7" t="s">
        <v>156</v>
      </c>
      <c r="E1" s="7" t="s">
        <v>154</v>
      </c>
      <c r="F1" s="7" t="s">
        <v>155</v>
      </c>
      <c r="G1" s="1" t="s">
        <v>157</v>
      </c>
      <c r="H1" s="7" t="s">
        <v>158</v>
      </c>
      <c r="I1" s="7" t="s">
        <v>166</v>
      </c>
      <c r="J1" s="8" t="s">
        <v>159</v>
      </c>
      <c r="K1" s="9" t="s">
        <v>160</v>
      </c>
      <c r="L1" s="8" t="s">
        <v>161</v>
      </c>
      <c r="M1" s="8" t="s">
        <v>162</v>
      </c>
      <c r="N1" s="10" t="s">
        <v>163</v>
      </c>
      <c r="O1" s="12" t="s">
        <v>165</v>
      </c>
    </row>
    <row r="2" spans="1:15" ht="14.5" customHeight="1" x14ac:dyDescent="0.35">
      <c r="A2" s="20" t="s">
        <v>0</v>
      </c>
      <c r="B2" s="2" t="s">
        <v>1</v>
      </c>
      <c r="C2" s="2" t="s">
        <v>3107</v>
      </c>
      <c r="D2" s="2" t="s">
        <v>1</v>
      </c>
      <c r="E2" s="2" t="str">
        <f>INDEX([1]Cities!$D$2:$D$63,MATCH(B2,[1]Cities!$B$2:$B$63,0))</f>
        <v>Capital</v>
      </c>
      <c r="F2" s="2" t="str">
        <f>INDEX([1]Cities!$E$2:$E$63,MATCH(B2,[1]Cities!$B$2:$B$63,0))</f>
        <v>Upstate</v>
      </c>
      <c r="G2" s="2" t="str">
        <f>IF(H2&lt;=10000,"Small",IF(H2&lt;=90000,"Medium",IF(H2&gt;90000,"Large")))</f>
        <v>Large</v>
      </c>
      <c r="H2" s="3">
        <v>99224</v>
      </c>
      <c r="I2" s="4">
        <v>21.4</v>
      </c>
      <c r="J2" s="5">
        <v>69469.999354994754</v>
      </c>
      <c r="K2" s="6">
        <v>8.946260548077449E-3</v>
      </c>
      <c r="L2" s="5">
        <v>1314.7677880351528</v>
      </c>
      <c r="M2" s="5">
        <v>1274.9675078610014</v>
      </c>
      <c r="N2" s="11">
        <v>2795.1962529226798</v>
      </c>
      <c r="O2" s="13">
        <v>2024</v>
      </c>
    </row>
    <row r="3" spans="1:15" ht="14.5" customHeight="1" x14ac:dyDescent="0.35">
      <c r="A3" s="20" t="s">
        <v>2</v>
      </c>
      <c r="B3" s="2" t="s">
        <v>98</v>
      </c>
      <c r="C3" s="2" t="s">
        <v>3107</v>
      </c>
      <c r="D3" s="2" t="s">
        <v>3</v>
      </c>
      <c r="E3" s="2" t="str">
        <f>INDEX([1]Cities!$D$2:$D$63,MATCH(B3,[1]Cities!$B$2:$B$63,0))</f>
        <v>Mohawk Valley</v>
      </c>
      <c r="F3" s="2" t="str">
        <f>INDEX([1]Cities!$E$2:$E$63,MATCH(B3,[1]Cities!$B$2:$B$63,0))</f>
        <v>Upstate</v>
      </c>
      <c r="G3" s="2" t="str">
        <f t="shared" ref="G3:G62" si="0">IF(H3&lt;=10000,"Small",IF(H3&lt;=90000,"Medium",IF(H3&gt;90000,"Large")))</f>
        <v>Medium</v>
      </c>
      <c r="H3" s="3">
        <v>18219</v>
      </c>
      <c r="I3" s="4">
        <v>5.9</v>
      </c>
      <c r="J3" s="5">
        <v>42412.72896426807</v>
      </c>
      <c r="K3" s="6">
        <v>7.3205923304631637E-3</v>
      </c>
      <c r="L3" s="5">
        <v>815.20817553103905</v>
      </c>
      <c r="M3" s="5">
        <v>1555.9746067292388</v>
      </c>
      <c r="N3" s="11">
        <v>2209.0659536747353</v>
      </c>
      <c r="O3" s="13">
        <v>2024</v>
      </c>
    </row>
    <row r="4" spans="1:15" ht="14.5" customHeight="1" x14ac:dyDescent="0.35">
      <c r="A4" s="20" t="s">
        <v>4</v>
      </c>
      <c r="B4" s="2" t="s">
        <v>99</v>
      </c>
      <c r="C4" s="2" t="s">
        <v>3107</v>
      </c>
      <c r="D4" s="2" t="s">
        <v>5</v>
      </c>
      <c r="E4" s="2" t="str">
        <f>INDEX([1]Cities!$D$2:$D$63,MATCH(B4,[1]Cities!$B$2:$B$63,0))</f>
        <v>Central New York</v>
      </c>
      <c r="F4" s="2" t="str">
        <f>INDEX([1]Cities!$E$2:$E$63,MATCH(B4,[1]Cities!$B$2:$B$63,0))</f>
        <v>Upstate</v>
      </c>
      <c r="G4" s="2" t="str">
        <f t="shared" si="0"/>
        <v>Medium</v>
      </c>
      <c r="H4" s="3">
        <v>26866</v>
      </c>
      <c r="I4" s="4">
        <v>8.3000000000000007</v>
      </c>
      <c r="J4" s="5">
        <v>48548.40497282811</v>
      </c>
      <c r="K4" s="6">
        <v>1.0578077653104008E-2</v>
      </c>
      <c r="L4" s="5">
        <v>1018.8966723740043</v>
      </c>
      <c r="M4" s="5">
        <v>4041.1112186406613</v>
      </c>
      <c r="N4" s="11">
        <v>3880.1770267252291</v>
      </c>
      <c r="O4" s="13">
        <v>2024</v>
      </c>
    </row>
    <row r="5" spans="1:15" ht="14.5" customHeight="1" x14ac:dyDescent="0.35">
      <c r="A5" s="20" t="s">
        <v>6</v>
      </c>
      <c r="B5" s="2" t="s">
        <v>100</v>
      </c>
      <c r="C5" s="2" t="s">
        <v>3107</v>
      </c>
      <c r="D5" s="2" t="s">
        <v>7</v>
      </c>
      <c r="E5" s="2" t="str">
        <f>INDEX([1]Cities!$D$2:$D$63,MATCH(B5,[1]Cities!$B$2:$B$63,0))</f>
        <v>Finger Lakes</v>
      </c>
      <c r="F5" s="2" t="str">
        <f>INDEX([1]Cities!$E$2:$E$63,MATCH(B5,[1]Cities!$B$2:$B$63,0))</f>
        <v>Upstate</v>
      </c>
      <c r="G5" s="2" t="str">
        <f t="shared" si="0"/>
        <v>Medium</v>
      </c>
      <c r="H5" s="3">
        <v>15600</v>
      </c>
      <c r="I5" s="4">
        <v>5.2</v>
      </c>
      <c r="J5" s="5">
        <v>47340.653397435897</v>
      </c>
      <c r="K5" s="6">
        <v>9.1113829548296853E-3</v>
      </c>
      <c r="L5" s="5">
        <v>1005.7034711538461</v>
      </c>
      <c r="M5" s="5">
        <v>568.26923076923072</v>
      </c>
      <c r="N5" s="11">
        <v>2116.1274551282054</v>
      </c>
      <c r="O5" s="13">
        <v>2024</v>
      </c>
    </row>
    <row r="6" spans="1:15" ht="14.5" customHeight="1" x14ac:dyDescent="0.35">
      <c r="A6" s="20" t="s">
        <v>8</v>
      </c>
      <c r="B6" s="2" t="s">
        <v>101</v>
      </c>
      <c r="C6" s="2" t="s">
        <v>3107</v>
      </c>
      <c r="D6" s="2" t="s">
        <v>9</v>
      </c>
      <c r="E6" s="2" t="str">
        <f>INDEX([1]Cities!$D$2:$D$63,MATCH(B6,[1]Cities!$B$2:$B$63,0))</f>
        <v>Mid-Hudson</v>
      </c>
      <c r="F6" s="2" t="str">
        <f>INDEX([1]Cities!$E$2:$E$63,MATCH(B6,[1]Cities!$B$2:$B$63,0))</f>
        <v>Downstate</v>
      </c>
      <c r="G6" s="2" t="str">
        <f t="shared" si="0"/>
        <v>Medium</v>
      </c>
      <c r="H6" s="3">
        <v>13769</v>
      </c>
      <c r="I6" s="4">
        <v>4.7</v>
      </c>
      <c r="J6" s="5">
        <v>142541.3623356816</v>
      </c>
      <c r="K6" s="6">
        <v>6.3055584415881924E-3</v>
      </c>
      <c r="L6" s="5">
        <v>1442.7926501561478</v>
      </c>
      <c r="M6" s="5">
        <v>3357.1792432275402</v>
      </c>
      <c r="N6" s="11">
        <v>3770.4651027670857</v>
      </c>
      <c r="O6" s="13">
        <v>2024</v>
      </c>
    </row>
    <row r="7" spans="1:15" ht="14.5" customHeight="1" x14ac:dyDescent="0.35">
      <c r="A7" s="20" t="s">
        <v>10</v>
      </c>
      <c r="B7" s="2" t="s">
        <v>102</v>
      </c>
      <c r="C7" s="2" t="s">
        <v>3107</v>
      </c>
      <c r="D7" s="2" t="s">
        <v>11</v>
      </c>
      <c r="E7" s="2" t="str">
        <f>INDEX([1]Cities!$D$2:$D$63,MATCH(B7,[1]Cities!$B$2:$B$63,0))</f>
        <v>Southern Tier</v>
      </c>
      <c r="F7" s="2" t="str">
        <f>INDEX([1]Cities!$E$2:$E$63,MATCH(B7,[1]Cities!$B$2:$B$63,0))</f>
        <v>Upstate</v>
      </c>
      <c r="G7" s="2" t="str">
        <f t="shared" si="0"/>
        <v>Medium</v>
      </c>
      <c r="H7" s="3">
        <v>47969</v>
      </c>
      <c r="I7" s="4">
        <v>10.5</v>
      </c>
      <c r="J7" s="5">
        <v>39686.127624090557</v>
      </c>
      <c r="K7" s="6">
        <v>1.8075247319349865E-2</v>
      </c>
      <c r="L7" s="5">
        <v>1118.2495294877945</v>
      </c>
      <c r="M7" s="5">
        <v>4853.7237649315184</v>
      </c>
      <c r="N7" s="11">
        <v>3005.9924649252644</v>
      </c>
      <c r="O7" s="13">
        <v>2024</v>
      </c>
    </row>
    <row r="8" spans="1:15" ht="14.5" customHeight="1" x14ac:dyDescent="0.35">
      <c r="A8" s="20" t="s">
        <v>12</v>
      </c>
      <c r="B8" s="2" t="s">
        <v>103</v>
      </c>
      <c r="C8" s="2" t="s">
        <v>3107</v>
      </c>
      <c r="D8" s="2" t="s">
        <v>13</v>
      </c>
      <c r="E8" s="2" t="str">
        <f>INDEX([1]Cities!$D$2:$D$63,MATCH(B8,[1]Cities!$B$2:$B$63,0))</f>
        <v>Western New York</v>
      </c>
      <c r="F8" s="2" t="str">
        <f>INDEX([1]Cities!$E$2:$E$63,MATCH(B8,[1]Cities!$B$2:$B$63,0))</f>
        <v>Upstate</v>
      </c>
      <c r="G8" s="2" t="str">
        <f t="shared" si="0"/>
        <v>Large</v>
      </c>
      <c r="H8" s="3">
        <v>278349</v>
      </c>
      <c r="I8" s="4">
        <v>40.4</v>
      </c>
      <c r="J8" s="5">
        <v>59253.493456056967</v>
      </c>
      <c r="K8" s="6">
        <v>5.1541551819876208E-3</v>
      </c>
      <c r="L8" s="5">
        <v>778.59092118168201</v>
      </c>
      <c r="M8" s="5">
        <v>1211.9945212664677</v>
      </c>
      <c r="N8" s="11">
        <v>2836.8348325663105</v>
      </c>
      <c r="O8" s="13">
        <v>2024</v>
      </c>
    </row>
    <row r="9" spans="1:15" ht="14.5" customHeight="1" x14ac:dyDescent="0.35">
      <c r="A9" s="20" t="s">
        <v>14</v>
      </c>
      <c r="B9" s="2" t="s">
        <v>104</v>
      </c>
      <c r="C9" s="2" t="s">
        <v>3107</v>
      </c>
      <c r="D9" s="2" t="s">
        <v>15</v>
      </c>
      <c r="E9" s="2" t="str">
        <f>INDEX([1]Cities!$D$2:$D$63,MATCH(B9,[1]Cities!$B$2:$B$63,0))</f>
        <v>Finger Lakes</v>
      </c>
      <c r="F9" s="2" t="str">
        <f>INDEX([1]Cities!$E$2:$E$63,MATCH(B9,[1]Cities!$B$2:$B$63,0))</f>
        <v>Upstate</v>
      </c>
      <c r="G9" s="2" t="str">
        <f t="shared" si="0"/>
        <v>Medium</v>
      </c>
      <c r="H9" s="3">
        <v>10576</v>
      </c>
      <c r="I9" s="4">
        <v>4.5999999999999996</v>
      </c>
      <c r="J9" s="5">
        <v>91851.036119515891</v>
      </c>
      <c r="K9" s="6">
        <v>6.8437138993053884E-3</v>
      </c>
      <c r="L9" s="5">
        <v>1284.2100983358548</v>
      </c>
      <c r="M9" s="5">
        <v>4899.7730711043869</v>
      </c>
      <c r="N9" s="11">
        <v>3252.8460665658095</v>
      </c>
      <c r="O9" s="13">
        <v>2024</v>
      </c>
    </row>
    <row r="10" spans="1:15" ht="14.5" customHeight="1" x14ac:dyDescent="0.35">
      <c r="A10" s="20" t="s">
        <v>16</v>
      </c>
      <c r="B10" s="2" t="s">
        <v>105</v>
      </c>
      <c r="C10" s="2" t="s">
        <v>3107</v>
      </c>
      <c r="D10" s="2" t="s">
        <v>1</v>
      </c>
      <c r="E10" s="2" t="str">
        <f>INDEX([1]Cities!$D$2:$D$63,MATCH(B10,[1]Cities!$B$2:$B$63,0))</f>
        <v>Capital</v>
      </c>
      <c r="F10" s="2" t="str">
        <f>INDEX([1]Cities!$E$2:$E$63,MATCH(B10,[1]Cities!$B$2:$B$63,0))</f>
        <v>Upstate</v>
      </c>
      <c r="G10" s="2" t="str">
        <f t="shared" si="0"/>
        <v>Medium</v>
      </c>
      <c r="H10" s="3">
        <v>18147</v>
      </c>
      <c r="I10" s="4">
        <v>3.8</v>
      </c>
      <c r="J10" s="5">
        <v>64044.289965283519</v>
      </c>
      <c r="K10" s="6">
        <v>7.2002345046027023E-3</v>
      </c>
      <c r="L10" s="5">
        <v>990.20918058081224</v>
      </c>
      <c r="M10" s="5">
        <v>1209.8619606546536</v>
      </c>
      <c r="N10" s="11">
        <v>2029.9207582520528</v>
      </c>
      <c r="O10" s="13">
        <v>2024</v>
      </c>
    </row>
    <row r="11" spans="1:15" ht="14.5" customHeight="1" x14ac:dyDescent="0.35">
      <c r="A11" s="20" t="s">
        <v>17</v>
      </c>
      <c r="B11" s="2" t="s">
        <v>106</v>
      </c>
      <c r="C11" s="2" t="s">
        <v>3107</v>
      </c>
      <c r="D11" s="2" t="s">
        <v>18</v>
      </c>
      <c r="E11" s="2" t="str">
        <f>INDEX([1]Cities!$D$2:$D$63,MATCH(B11,[1]Cities!$B$2:$B$63,0))</f>
        <v>Southern Tier</v>
      </c>
      <c r="F11" s="2" t="str">
        <f>INDEX([1]Cities!$E$2:$E$63,MATCH(B11,[1]Cities!$B$2:$B$63,0))</f>
        <v>Upstate</v>
      </c>
      <c r="G11" s="2" t="str">
        <f t="shared" si="0"/>
        <v>Medium</v>
      </c>
      <c r="H11" s="3">
        <v>10551</v>
      </c>
      <c r="I11" s="4">
        <v>3.1</v>
      </c>
      <c r="J11" s="5">
        <v>76280.582788361295</v>
      </c>
      <c r="K11" s="6">
        <v>1.0147607272384038E-2</v>
      </c>
      <c r="L11" s="5">
        <v>1382.2978864562601</v>
      </c>
      <c r="M11" s="5">
        <v>731.78949862572267</v>
      </c>
      <c r="N11" s="11">
        <v>2410.7120652070894</v>
      </c>
      <c r="O11" s="13">
        <v>2024</v>
      </c>
    </row>
    <row r="12" spans="1:15" ht="14.5" customHeight="1" x14ac:dyDescent="0.35">
      <c r="A12" s="20" t="s">
        <v>19</v>
      </c>
      <c r="B12" s="2" t="s">
        <v>20</v>
      </c>
      <c r="C12" s="2" t="s">
        <v>3107</v>
      </c>
      <c r="D12" s="2" t="s">
        <v>20</v>
      </c>
      <c r="E12" s="2" t="str">
        <f>INDEX([1]Cities!$D$2:$D$63,MATCH(B12,[1]Cities!$B$2:$B$63,0))</f>
        <v>Central New York</v>
      </c>
      <c r="F12" s="2" t="str">
        <f>INDEX([1]Cities!$E$2:$E$63,MATCH(B12,[1]Cities!$B$2:$B$63,0))</f>
        <v>Upstate</v>
      </c>
      <c r="G12" s="2" t="str">
        <f t="shared" si="0"/>
        <v>Medium</v>
      </c>
      <c r="H12" s="3">
        <v>17556</v>
      </c>
      <c r="I12" s="4">
        <v>3.9</v>
      </c>
      <c r="J12" s="5">
        <v>41922.952380952382</v>
      </c>
      <c r="K12" s="6">
        <v>1.3147808722527243E-2</v>
      </c>
      <c r="L12" s="5">
        <v>1034.5472516518566</v>
      </c>
      <c r="M12" s="5">
        <v>2940.3317207792206</v>
      </c>
      <c r="N12" s="11">
        <v>2821.3010326953749</v>
      </c>
      <c r="O12" s="13">
        <v>2024</v>
      </c>
    </row>
    <row r="13" spans="1:15" ht="14.5" customHeight="1" x14ac:dyDescent="0.35">
      <c r="A13" s="20" t="s">
        <v>21</v>
      </c>
      <c r="B13" s="2" t="s">
        <v>107</v>
      </c>
      <c r="C13" s="2" t="s">
        <v>3107</v>
      </c>
      <c r="D13" s="2" t="s">
        <v>22</v>
      </c>
      <c r="E13" s="2" t="str">
        <f>INDEX([1]Cities!$D$2:$D$63,MATCH(B13,[1]Cities!$B$2:$B$63,0))</f>
        <v>Western New York</v>
      </c>
      <c r="F13" s="2" t="str">
        <f>INDEX([1]Cities!$E$2:$E$63,MATCH(B13,[1]Cities!$B$2:$B$63,0))</f>
        <v>Upstate</v>
      </c>
      <c r="G13" s="2" t="str">
        <f t="shared" si="0"/>
        <v>Medium</v>
      </c>
      <c r="H13" s="3">
        <v>12743</v>
      </c>
      <c r="I13" s="4">
        <v>4.5</v>
      </c>
      <c r="J13" s="5">
        <v>41730.611002118807</v>
      </c>
      <c r="K13" s="6">
        <v>9.9597276414709578E-3</v>
      </c>
      <c r="L13" s="5">
        <v>757.68751471396058</v>
      </c>
      <c r="M13" s="5">
        <v>3281.5020795730989</v>
      </c>
      <c r="N13" s="11">
        <v>2257.8285333124068</v>
      </c>
      <c r="O13" s="13">
        <v>2024</v>
      </c>
    </row>
    <row r="14" spans="1:15" ht="14.5" customHeight="1" x14ac:dyDescent="0.35">
      <c r="A14" s="20" t="s">
        <v>23</v>
      </c>
      <c r="B14" s="2" t="s">
        <v>108</v>
      </c>
      <c r="C14" s="2" t="s">
        <v>3107</v>
      </c>
      <c r="D14" s="2" t="s">
        <v>24</v>
      </c>
      <c r="E14" s="2" t="str">
        <f>INDEX([1]Cities!$D$2:$D$63,MATCH(B14,[1]Cities!$B$2:$B$63,0))</f>
        <v>Southern Tier</v>
      </c>
      <c r="F14" s="2" t="str">
        <f>INDEX([1]Cities!$E$2:$E$63,MATCH(B14,[1]Cities!$B$2:$B$63,0))</f>
        <v>Upstate</v>
      </c>
      <c r="G14" s="2" t="str">
        <f t="shared" si="0"/>
        <v>Medium</v>
      </c>
      <c r="H14" s="3">
        <v>26523</v>
      </c>
      <c r="I14" s="4">
        <v>7.3</v>
      </c>
      <c r="J14" s="5">
        <v>32093.792934434263</v>
      </c>
      <c r="K14" s="6">
        <v>1.709839906120092E-2</v>
      </c>
      <c r="L14" s="5">
        <v>818.26814462918981</v>
      </c>
      <c r="M14" s="5">
        <v>998.62383591599746</v>
      </c>
      <c r="N14" s="11">
        <v>2518.5675451494931</v>
      </c>
      <c r="O14" s="13">
        <v>2024</v>
      </c>
    </row>
    <row r="15" spans="1:15" ht="14.5" customHeight="1" x14ac:dyDescent="0.35">
      <c r="A15" s="20" t="s">
        <v>25</v>
      </c>
      <c r="B15" s="2" t="s">
        <v>34</v>
      </c>
      <c r="C15" s="2" t="s">
        <v>3107</v>
      </c>
      <c r="D15" s="2" t="s">
        <v>26</v>
      </c>
      <c r="E15" s="2" t="str">
        <f>INDEX([1]Cities!$D$2:$D$63,MATCH(B15,[1]Cities!$B$2:$B$63,0))</f>
        <v>Central New York</v>
      </c>
      <c r="F15" s="2" t="str">
        <f>INDEX([1]Cities!$E$2:$E$63,MATCH(B15,[1]Cities!$B$2:$B$63,0))</f>
        <v>Upstate</v>
      </c>
      <c r="G15" s="2" t="str">
        <f t="shared" si="0"/>
        <v>Medium</v>
      </c>
      <c r="H15" s="3">
        <v>11389</v>
      </c>
      <c r="I15" s="4">
        <v>3.8</v>
      </c>
      <c r="J15" s="5">
        <v>43265.573887084029</v>
      </c>
      <c r="K15" s="6" t="s">
        <v>27</v>
      </c>
      <c r="L15" s="5">
        <v>0</v>
      </c>
      <c r="M15" s="5">
        <v>0</v>
      </c>
      <c r="N15" s="11">
        <v>0</v>
      </c>
      <c r="O15" s="13">
        <v>2024</v>
      </c>
    </row>
    <row r="16" spans="1:15" ht="14.5" customHeight="1" x14ac:dyDescent="0.35">
      <c r="A16" s="20" t="s">
        <v>28</v>
      </c>
      <c r="B16" s="2" t="s">
        <v>109</v>
      </c>
      <c r="C16" s="2" t="s">
        <v>3107</v>
      </c>
      <c r="D16" s="2" t="s">
        <v>15</v>
      </c>
      <c r="E16" s="2" t="str">
        <f>INDEX([1]Cities!$D$2:$D$63,MATCH(B16,[1]Cities!$B$2:$B$63,0))</f>
        <v>Finger Lakes</v>
      </c>
      <c r="F16" s="2" t="str">
        <f>INDEX([1]Cities!$E$2:$E$63,MATCH(B16,[1]Cities!$B$2:$B$63,0))</f>
        <v>Upstate</v>
      </c>
      <c r="G16" s="2" t="str">
        <f t="shared" si="0"/>
        <v>Medium</v>
      </c>
      <c r="H16" s="3">
        <v>12812</v>
      </c>
      <c r="I16" s="4">
        <v>4.2</v>
      </c>
      <c r="J16" s="5">
        <v>48895.5</v>
      </c>
      <c r="K16" s="6">
        <v>1.3260420343840647E-2</v>
      </c>
      <c r="L16" s="5">
        <v>1182.5149078988447</v>
      </c>
      <c r="M16" s="5">
        <v>3630.6140337183892</v>
      </c>
      <c r="N16" s="11">
        <v>2519.2816890415234</v>
      </c>
      <c r="O16" s="13">
        <v>2024</v>
      </c>
    </row>
    <row r="17" spans="1:15" ht="14.5" customHeight="1" x14ac:dyDescent="0.35">
      <c r="A17" s="20" t="s">
        <v>29</v>
      </c>
      <c r="B17" s="2" t="s">
        <v>110</v>
      </c>
      <c r="C17" s="2" t="s">
        <v>3107</v>
      </c>
      <c r="D17" s="2" t="s">
        <v>30</v>
      </c>
      <c r="E17" s="2" t="str">
        <f>INDEX([1]Cities!$D$2:$D$63,MATCH(B17,[1]Cities!$B$2:$B$63,0))</f>
        <v>Long Island</v>
      </c>
      <c r="F17" s="2" t="str">
        <f>INDEX([1]Cities!$E$2:$E$63,MATCH(B17,[1]Cities!$B$2:$B$63,0))</f>
        <v>Downstate</v>
      </c>
      <c r="G17" s="2" t="str">
        <f t="shared" si="0"/>
        <v>Medium</v>
      </c>
      <c r="H17" s="3">
        <v>28365</v>
      </c>
      <c r="I17" s="4">
        <v>6.7</v>
      </c>
      <c r="J17" s="5">
        <v>196177.7967918209</v>
      </c>
      <c r="K17" s="6">
        <v>5.9852572541441119E-3</v>
      </c>
      <c r="L17" s="5">
        <v>1346.0860215053763</v>
      </c>
      <c r="M17" s="5">
        <v>1791.4154768200247</v>
      </c>
      <c r="N17" s="11">
        <v>2641.8785475057289</v>
      </c>
      <c r="O17" s="13">
        <v>2024</v>
      </c>
    </row>
    <row r="18" spans="1:15" ht="14.5" customHeight="1" x14ac:dyDescent="0.35">
      <c r="A18" s="20" t="s">
        <v>31</v>
      </c>
      <c r="B18" s="2" t="s">
        <v>111</v>
      </c>
      <c r="C18" s="2" t="s">
        <v>3107</v>
      </c>
      <c r="D18" s="2" t="s">
        <v>32</v>
      </c>
      <c r="E18" s="2" t="str">
        <f>INDEX([1]Cities!$D$2:$D$63,MATCH(B18,[1]Cities!$B$2:$B$63,0))</f>
        <v>Capital</v>
      </c>
      <c r="F18" s="2" t="str">
        <f>INDEX([1]Cities!$E$2:$E$63,MATCH(B18,[1]Cities!$B$2:$B$63,0))</f>
        <v>Upstate</v>
      </c>
      <c r="G18" s="2" t="str">
        <f t="shared" si="0"/>
        <v>Medium</v>
      </c>
      <c r="H18" s="3">
        <v>14830</v>
      </c>
      <c r="I18" s="4">
        <v>3.9</v>
      </c>
      <c r="J18" s="5">
        <v>93826.678422117329</v>
      </c>
      <c r="K18" s="6">
        <v>7.8219460333311484E-3</v>
      </c>
      <c r="L18" s="5">
        <v>1195.8099919082943</v>
      </c>
      <c r="M18" s="5">
        <v>3628.2969858395145</v>
      </c>
      <c r="N18" s="11">
        <v>3607.3507916385706</v>
      </c>
      <c r="O18" s="13">
        <v>2024</v>
      </c>
    </row>
    <row r="19" spans="1:15" ht="14.5" customHeight="1" x14ac:dyDescent="0.35">
      <c r="A19" s="20" t="s">
        <v>33</v>
      </c>
      <c r="B19" s="2" t="s">
        <v>112</v>
      </c>
      <c r="C19" s="2" t="s">
        <v>3107</v>
      </c>
      <c r="D19" s="2" t="s">
        <v>34</v>
      </c>
      <c r="E19" s="2" t="str">
        <f>INDEX([1]Cities!$D$2:$D$63,MATCH(B19,[1]Cities!$B$2:$B$63,0))</f>
        <v>Mohawk Valley</v>
      </c>
      <c r="F19" s="2" t="str">
        <f>INDEX([1]Cities!$E$2:$E$63,MATCH(B19,[1]Cities!$B$2:$B$63,0))</f>
        <v>Upstate</v>
      </c>
      <c r="G19" s="2" t="str">
        <f t="shared" si="0"/>
        <v>Medium</v>
      </c>
      <c r="H19" s="3">
        <v>15131</v>
      </c>
      <c r="I19" s="4">
        <v>5.0999999999999996</v>
      </c>
      <c r="J19" s="5">
        <v>33385.785341352188</v>
      </c>
      <c r="K19" s="6">
        <v>1.6514450369001472E-2</v>
      </c>
      <c r="L19" s="5">
        <v>907.56969136210432</v>
      </c>
      <c r="M19" s="5">
        <v>1519.0288811050161</v>
      </c>
      <c r="N19" s="11">
        <v>2358.7267199788512</v>
      </c>
      <c r="O19" s="13">
        <v>2024</v>
      </c>
    </row>
    <row r="20" spans="1:15" ht="14.5" customHeight="1" x14ac:dyDescent="0.35">
      <c r="A20" s="20" t="s">
        <v>35</v>
      </c>
      <c r="B20" s="2" t="s">
        <v>113</v>
      </c>
      <c r="C20" s="2" t="s">
        <v>3107</v>
      </c>
      <c r="D20" s="2" t="s">
        <v>18</v>
      </c>
      <c r="E20" s="2" t="str">
        <f>INDEX([1]Cities!$D$2:$D$63,MATCH(B20,[1]Cities!$B$2:$B$63,0))</f>
        <v>Southern Tier</v>
      </c>
      <c r="F20" s="2" t="str">
        <f>INDEX([1]Cities!$E$2:$E$63,MATCH(B20,[1]Cities!$B$2:$B$63,0))</f>
        <v>Upstate</v>
      </c>
      <c r="G20" s="2" t="str">
        <f t="shared" si="0"/>
        <v>Small</v>
      </c>
      <c r="H20" s="3">
        <v>8263</v>
      </c>
      <c r="I20" s="4">
        <v>2.8</v>
      </c>
      <c r="J20" s="5">
        <v>40063.294687159629</v>
      </c>
      <c r="K20" s="6">
        <v>1.4040329938523636E-2</v>
      </c>
      <c r="L20" s="5">
        <v>1206.7479123804912</v>
      </c>
      <c r="M20" s="5">
        <v>1298.0963499939489</v>
      </c>
      <c r="N20" s="11">
        <v>2684.9728912017426</v>
      </c>
      <c r="O20" s="13">
        <v>2024</v>
      </c>
    </row>
    <row r="21" spans="1:15" ht="14.5" customHeight="1" x14ac:dyDescent="0.35">
      <c r="A21" s="20" t="s">
        <v>36</v>
      </c>
      <c r="B21" s="2" t="s">
        <v>114</v>
      </c>
      <c r="C21" s="2" t="s">
        <v>3107</v>
      </c>
      <c r="D21" s="2" t="s">
        <v>37</v>
      </c>
      <c r="E21" s="2" t="str">
        <f>INDEX([1]Cities!$D$2:$D$63,MATCH(B21,[1]Cities!$B$2:$B$63,0))</f>
        <v>Capital</v>
      </c>
      <c r="F21" s="2" t="str">
        <f>INDEX([1]Cities!$E$2:$E$63,MATCH(B21,[1]Cities!$B$2:$B$63,0))</f>
        <v>Upstate</v>
      </c>
      <c r="G21" s="2" t="str">
        <f t="shared" si="0"/>
        <v>Small</v>
      </c>
      <c r="H21" s="3">
        <v>5894</v>
      </c>
      <c r="I21" s="4">
        <v>2.2000000000000002</v>
      </c>
      <c r="J21" s="5">
        <v>161901.62283678318</v>
      </c>
      <c r="K21" s="6">
        <v>5.6569198432778744E-3</v>
      </c>
      <c r="L21" s="5">
        <v>1480.3300118764846</v>
      </c>
      <c r="M21" s="5">
        <v>3775.5425856803531</v>
      </c>
      <c r="N21" s="11">
        <v>4911.1170206990155</v>
      </c>
      <c r="O21" s="13">
        <v>2024</v>
      </c>
    </row>
    <row r="22" spans="1:15" ht="14.5" customHeight="1" x14ac:dyDescent="0.35">
      <c r="A22" s="20" t="s">
        <v>38</v>
      </c>
      <c r="B22" s="2" t="s">
        <v>115</v>
      </c>
      <c r="C22" s="2" t="s">
        <v>3107</v>
      </c>
      <c r="D22" s="2" t="s">
        <v>39</v>
      </c>
      <c r="E22" s="2" t="str">
        <f>INDEX([1]Cities!$D$2:$D$63,MATCH(B22,[1]Cities!$B$2:$B$63,0))</f>
        <v>Southern Tier</v>
      </c>
      <c r="F22" s="2" t="str">
        <f>INDEX([1]Cities!$E$2:$E$63,MATCH(B22,[1]Cities!$B$2:$B$63,0))</f>
        <v>Upstate</v>
      </c>
      <c r="G22" s="2" t="str">
        <f t="shared" si="0"/>
        <v>Medium</v>
      </c>
      <c r="H22" s="3">
        <v>32108</v>
      </c>
      <c r="I22" s="4">
        <v>5.4</v>
      </c>
      <c r="J22" s="5">
        <v>79788.269963871935</v>
      </c>
      <c r="K22" s="6" t="s">
        <v>27</v>
      </c>
      <c r="L22" s="5">
        <v>0</v>
      </c>
      <c r="M22" s="5">
        <v>0</v>
      </c>
      <c r="N22" s="11">
        <v>0</v>
      </c>
      <c r="O22" s="13">
        <v>2024</v>
      </c>
    </row>
    <row r="23" spans="1:15" ht="14.5" customHeight="1" x14ac:dyDescent="0.35">
      <c r="A23" s="20" t="s">
        <v>40</v>
      </c>
      <c r="B23" s="2" t="s">
        <v>116</v>
      </c>
      <c r="C23" s="2" t="s">
        <v>3107</v>
      </c>
      <c r="D23" s="2" t="s">
        <v>22</v>
      </c>
      <c r="E23" s="2" t="str">
        <f>INDEX([1]Cities!$D$2:$D$63,MATCH(B23,[1]Cities!$B$2:$B$63,0))</f>
        <v>Western New York</v>
      </c>
      <c r="F23" s="2" t="str">
        <f>INDEX([1]Cities!$E$2:$E$63,MATCH(B23,[1]Cities!$B$2:$B$63,0))</f>
        <v>Upstate</v>
      </c>
      <c r="G23" s="2" t="str">
        <f t="shared" si="0"/>
        <v>Medium</v>
      </c>
      <c r="H23" s="3">
        <v>28712</v>
      </c>
      <c r="I23" s="4">
        <v>8.9</v>
      </c>
      <c r="J23" s="5">
        <v>32961.297088325438</v>
      </c>
      <c r="K23" s="6" t="s">
        <v>27</v>
      </c>
      <c r="L23" s="5">
        <v>0</v>
      </c>
      <c r="M23" s="5">
        <v>0</v>
      </c>
      <c r="N23" s="11">
        <v>0</v>
      </c>
      <c r="O23" s="13">
        <v>2024</v>
      </c>
    </row>
    <row r="24" spans="1:15" ht="14.5" customHeight="1" x14ac:dyDescent="0.35">
      <c r="A24" s="20" t="s">
        <v>41</v>
      </c>
      <c r="B24" s="2" t="s">
        <v>117</v>
      </c>
      <c r="C24" s="2" t="s">
        <v>3107</v>
      </c>
      <c r="D24" s="2" t="s">
        <v>34</v>
      </c>
      <c r="E24" s="2" t="str">
        <f>INDEX([1]Cities!$D$2:$D$63,MATCH(B24,[1]Cities!$B$2:$B$63,0))</f>
        <v>Mohawk Valley</v>
      </c>
      <c r="F24" s="2" t="str">
        <f>INDEX([1]Cities!$E$2:$E$63,MATCH(B24,[1]Cities!$B$2:$B$63,0))</f>
        <v>Upstate</v>
      </c>
      <c r="G24" s="2" t="str">
        <f t="shared" si="0"/>
        <v>Small</v>
      </c>
      <c r="H24" s="3">
        <v>8204</v>
      </c>
      <c r="I24" s="4">
        <v>4.9000000000000004</v>
      </c>
      <c r="J24" s="5">
        <v>76682.420404680641</v>
      </c>
      <c r="K24" s="6" t="s">
        <v>27</v>
      </c>
      <c r="L24" s="5">
        <v>0</v>
      </c>
      <c r="M24" s="5">
        <v>0</v>
      </c>
      <c r="N24" s="11">
        <v>0</v>
      </c>
      <c r="O24" s="13">
        <v>2024</v>
      </c>
    </row>
    <row r="25" spans="1:15" ht="14.5" customHeight="1" x14ac:dyDescent="0.35">
      <c r="A25" s="20" t="s">
        <v>42</v>
      </c>
      <c r="B25" s="2" t="s">
        <v>118</v>
      </c>
      <c r="C25" s="2" t="s">
        <v>3107</v>
      </c>
      <c r="D25" s="2" t="s">
        <v>43</v>
      </c>
      <c r="E25" s="2" t="str">
        <f>INDEX([1]Cities!$D$2:$D$63,MATCH(B25,[1]Cities!$B$2:$B$63,0))</f>
        <v>Mid-Hudson</v>
      </c>
      <c r="F25" s="2" t="str">
        <f>INDEX([1]Cities!$E$2:$E$63,MATCH(B25,[1]Cities!$B$2:$B$63,0))</f>
        <v>Downstate</v>
      </c>
      <c r="G25" s="2" t="str">
        <f t="shared" si="0"/>
        <v>Medium</v>
      </c>
      <c r="H25" s="3">
        <v>24069</v>
      </c>
      <c r="I25" s="4">
        <v>7.5</v>
      </c>
      <c r="J25" s="5">
        <v>114297.07216751839</v>
      </c>
      <c r="K25" s="6">
        <v>6.3585291970451223E-3</v>
      </c>
      <c r="L25" s="5">
        <v>1644.4295554447626</v>
      </c>
      <c r="M25" s="5">
        <v>4253.0857950060245</v>
      </c>
      <c r="N25" s="11">
        <v>4086.7026851967262</v>
      </c>
      <c r="O25" s="13">
        <v>2024</v>
      </c>
    </row>
    <row r="26" spans="1:15" ht="14.5" customHeight="1" x14ac:dyDescent="0.35">
      <c r="A26" s="20" t="s">
        <v>44</v>
      </c>
      <c r="B26" s="2" t="s">
        <v>119</v>
      </c>
      <c r="C26" s="2" t="s">
        <v>3107</v>
      </c>
      <c r="D26" s="2" t="s">
        <v>13</v>
      </c>
      <c r="E26" s="2" t="str">
        <f>INDEX([1]Cities!$D$2:$D$63,MATCH(B26,[1]Cities!$B$2:$B$63,0))</f>
        <v>Western New York</v>
      </c>
      <c r="F26" s="2" t="str">
        <f>INDEX([1]Cities!$E$2:$E$63,MATCH(B26,[1]Cities!$B$2:$B$63,0))</f>
        <v>Upstate</v>
      </c>
      <c r="G26" s="2" t="str">
        <f t="shared" si="0"/>
        <v>Medium</v>
      </c>
      <c r="H26" s="3">
        <v>19949</v>
      </c>
      <c r="I26" s="4">
        <v>6.6</v>
      </c>
      <c r="J26" s="5">
        <v>48574.942002105367</v>
      </c>
      <c r="K26" s="6">
        <v>1.3149667745561868E-2</v>
      </c>
      <c r="L26" s="5">
        <v>1113.1913379116747</v>
      </c>
      <c r="M26" s="5">
        <v>178.97122662790116</v>
      </c>
      <c r="N26" s="11">
        <v>2056.1650208030478</v>
      </c>
      <c r="O26" s="13">
        <v>2024</v>
      </c>
    </row>
    <row r="27" spans="1:15" ht="14.5" customHeight="1" x14ac:dyDescent="0.35">
      <c r="A27" s="20" t="s">
        <v>45</v>
      </c>
      <c r="B27" s="2" t="s">
        <v>120</v>
      </c>
      <c r="C27" s="2" t="s">
        <v>3107</v>
      </c>
      <c r="D27" s="2" t="s">
        <v>46</v>
      </c>
      <c r="E27" s="2" t="str">
        <f>INDEX([1]Cities!$D$2:$D$63,MATCH(B27,[1]Cities!$B$2:$B$63,0))</f>
        <v>Mohawk Valley</v>
      </c>
      <c r="F27" s="2" t="str">
        <f>INDEX([1]Cities!$E$2:$E$63,MATCH(B27,[1]Cities!$B$2:$B$63,0))</f>
        <v>Upstate</v>
      </c>
      <c r="G27" s="2" t="str">
        <f t="shared" si="0"/>
        <v>Small</v>
      </c>
      <c r="H27" s="3">
        <v>4605</v>
      </c>
      <c r="I27" s="4">
        <v>3.8</v>
      </c>
      <c r="J27" s="5">
        <v>49980.235613463628</v>
      </c>
      <c r="K27" s="6">
        <v>1.6958289940321034E-2</v>
      </c>
      <c r="L27" s="5">
        <v>1164.4157155266016</v>
      </c>
      <c r="M27" s="5">
        <v>1716.3237785016286</v>
      </c>
      <c r="N27" s="11">
        <v>2669.8408729641696</v>
      </c>
      <c r="O27" s="13">
        <v>2024</v>
      </c>
    </row>
    <row r="28" spans="1:15" ht="14.5" customHeight="1" x14ac:dyDescent="0.35">
      <c r="A28" s="20" t="s">
        <v>47</v>
      </c>
      <c r="B28" s="2" t="s">
        <v>121</v>
      </c>
      <c r="C28" s="2" t="s">
        <v>3107</v>
      </c>
      <c r="D28" s="2" t="s">
        <v>48</v>
      </c>
      <c r="E28" s="2" t="str">
        <f>INDEX([1]Cities!$D$2:$D$63,MATCH(B28,[1]Cities!$B$2:$B$63,0))</f>
        <v>Western New York</v>
      </c>
      <c r="F28" s="2" t="str">
        <f>INDEX([1]Cities!$E$2:$E$63,MATCH(B28,[1]Cities!$B$2:$B$63,0))</f>
        <v>Upstate</v>
      </c>
      <c r="G28" s="2" t="str">
        <f t="shared" si="0"/>
        <v>Medium</v>
      </c>
      <c r="H28" s="3">
        <v>20876</v>
      </c>
      <c r="I28" s="4">
        <v>8.4</v>
      </c>
      <c r="J28" s="5">
        <v>60046.839289135853</v>
      </c>
      <c r="K28" s="6">
        <v>1.072563971957138E-2</v>
      </c>
      <c r="L28" s="5">
        <v>1091.3172542632688</v>
      </c>
      <c r="M28" s="5">
        <v>524.41214792105768</v>
      </c>
      <c r="N28" s="11">
        <v>2338.2908124161718</v>
      </c>
      <c r="O28" s="13">
        <v>2024</v>
      </c>
    </row>
    <row r="29" spans="1:15" ht="14.5" customHeight="1" x14ac:dyDescent="0.35">
      <c r="A29" s="20" t="s">
        <v>49</v>
      </c>
      <c r="B29" s="2" t="s">
        <v>122</v>
      </c>
      <c r="C29" s="2" t="s">
        <v>3107</v>
      </c>
      <c r="D29" s="2" t="s">
        <v>30</v>
      </c>
      <c r="E29" s="2" t="str">
        <f>INDEX([1]Cities!$D$2:$D$63,MATCH(B29,[1]Cities!$B$2:$B$63,0))</f>
        <v>Long Island</v>
      </c>
      <c r="F29" s="2" t="str">
        <f>INDEX([1]Cities!$E$2:$E$63,MATCH(B29,[1]Cities!$B$2:$B$63,0))</f>
        <v>Downstate</v>
      </c>
      <c r="G29" s="2" t="str">
        <f t="shared" si="0"/>
        <v>Medium</v>
      </c>
      <c r="H29" s="3">
        <v>35029</v>
      </c>
      <c r="I29" s="4">
        <v>2.2000000000000002</v>
      </c>
      <c r="J29" s="5">
        <v>237556.33612149933</v>
      </c>
      <c r="K29" s="6">
        <v>7.0394005389285306E-3</v>
      </c>
      <c r="L29" s="5">
        <v>1935.4198055896545</v>
      </c>
      <c r="M29" s="5">
        <v>6149.3839872676926</v>
      </c>
      <c r="N29" s="11">
        <v>3861.6327796968221</v>
      </c>
      <c r="O29" s="13">
        <v>2024</v>
      </c>
    </row>
    <row r="30" spans="1:15" ht="14.5" customHeight="1" x14ac:dyDescent="0.35">
      <c r="A30" s="20" t="s">
        <v>50</v>
      </c>
      <c r="B30" s="2" t="s">
        <v>123</v>
      </c>
      <c r="C30" s="2" t="s">
        <v>3107</v>
      </c>
      <c r="D30" s="2" t="s">
        <v>51</v>
      </c>
      <c r="E30" s="2" t="str">
        <f>INDEX([1]Cities!$D$2:$D$63,MATCH(B30,[1]Cities!$B$2:$B$63,0))</f>
        <v>Capital</v>
      </c>
      <c r="F30" s="2" t="str">
        <f>INDEX([1]Cities!$E$2:$E$63,MATCH(B30,[1]Cities!$B$2:$B$63,0))</f>
        <v>Upstate</v>
      </c>
      <c r="G30" s="2" t="str">
        <f t="shared" si="0"/>
        <v>Small</v>
      </c>
      <c r="H30" s="3">
        <v>5163</v>
      </c>
      <c r="I30" s="4">
        <v>0.8</v>
      </c>
      <c r="J30" s="5">
        <v>63019.064691071086</v>
      </c>
      <c r="K30" s="6" t="s">
        <v>27</v>
      </c>
      <c r="L30" s="5">
        <v>0</v>
      </c>
      <c r="M30" s="5">
        <v>0</v>
      </c>
      <c r="N30" s="11">
        <v>0</v>
      </c>
      <c r="O30" s="13">
        <v>2024</v>
      </c>
    </row>
    <row r="31" spans="1:15" ht="14.5" customHeight="1" x14ac:dyDescent="0.35">
      <c r="A31" s="20" t="s">
        <v>52</v>
      </c>
      <c r="B31" s="2" t="s">
        <v>124</v>
      </c>
      <c r="C31" s="2" t="s">
        <v>3107</v>
      </c>
      <c r="D31" s="2" t="s">
        <v>53</v>
      </c>
      <c r="E31" s="2" t="str">
        <f>INDEX([1]Cities!$D$2:$D$63,MATCH(B31,[1]Cities!$B$2:$B$63,0))</f>
        <v>Mid-Hudson</v>
      </c>
      <c r="F31" s="2" t="str">
        <f>INDEX([1]Cities!$E$2:$E$63,MATCH(B31,[1]Cities!$B$2:$B$63,0))</f>
        <v>Downstate</v>
      </c>
      <c r="G31" s="2" t="str">
        <f t="shared" si="0"/>
        <v>Medium</v>
      </c>
      <c r="H31" s="3">
        <v>30345</v>
      </c>
      <c r="I31" s="4">
        <v>5.0999999999999996</v>
      </c>
      <c r="J31" s="5">
        <v>79859.38078760916</v>
      </c>
      <c r="K31" s="6">
        <v>9.5768212053043925E-3</v>
      </c>
      <c r="L31" s="5">
        <v>1306.9421651013347</v>
      </c>
      <c r="M31" s="5">
        <v>2913.41014994233</v>
      </c>
      <c r="N31" s="11">
        <v>2854.0429395287529</v>
      </c>
      <c r="O31" s="13">
        <v>2024</v>
      </c>
    </row>
    <row r="32" spans="1:15" ht="14.5" customHeight="1" x14ac:dyDescent="0.35">
      <c r="A32" s="20" t="s">
        <v>54</v>
      </c>
      <c r="B32" s="2" t="s">
        <v>125</v>
      </c>
      <c r="C32" s="2" t="s">
        <v>3107</v>
      </c>
      <c r="D32" s="2" t="s">
        <v>55</v>
      </c>
      <c r="E32" s="2" t="str">
        <f>INDEX([1]Cities!$D$2:$D$63,MATCH(B32,[1]Cities!$B$2:$B$63,0))</f>
        <v>Mid-Hudson</v>
      </c>
      <c r="F32" s="2" t="str">
        <f>INDEX([1]Cities!$E$2:$E$63,MATCH(B32,[1]Cities!$B$2:$B$63,0))</f>
        <v>Downstate</v>
      </c>
      <c r="G32" s="2" t="str">
        <f t="shared" si="0"/>
        <v>Medium</v>
      </c>
      <c r="H32" s="3">
        <v>73893</v>
      </c>
      <c r="I32" s="4">
        <v>4.4000000000000004</v>
      </c>
      <c r="J32" s="5">
        <v>115914.27323291787</v>
      </c>
      <c r="K32" s="6" t="s">
        <v>27</v>
      </c>
      <c r="L32" s="5">
        <v>0</v>
      </c>
      <c r="M32" s="5">
        <v>0</v>
      </c>
      <c r="N32" s="11">
        <v>0</v>
      </c>
      <c r="O32" s="13">
        <v>2024</v>
      </c>
    </row>
    <row r="33" spans="1:15" ht="14.5" customHeight="1" x14ac:dyDescent="0.35">
      <c r="A33" s="20" t="s">
        <v>56</v>
      </c>
      <c r="B33" s="2" t="s">
        <v>126</v>
      </c>
      <c r="C33" s="2" t="s">
        <v>3107</v>
      </c>
      <c r="D33" s="2" t="s">
        <v>55</v>
      </c>
      <c r="E33" s="2" t="str">
        <f>INDEX([1]Cities!$D$2:$D$63,MATCH(B33,[1]Cities!$B$2:$B$63,0))</f>
        <v>Mid-Hudson</v>
      </c>
      <c r="F33" s="2" t="str">
        <f>INDEX([1]Cities!$E$2:$E$63,MATCH(B33,[1]Cities!$B$2:$B$63,0))</f>
        <v>Downstate</v>
      </c>
      <c r="G33" s="2" t="str">
        <f t="shared" si="0"/>
        <v>Medium</v>
      </c>
      <c r="H33" s="3">
        <v>79726</v>
      </c>
      <c r="I33" s="4">
        <v>10.4</v>
      </c>
      <c r="J33" s="5">
        <v>171911.66083837143</v>
      </c>
      <c r="K33" s="6">
        <v>4.8172872033610892E-3</v>
      </c>
      <c r="L33" s="5">
        <v>1445.1875925043273</v>
      </c>
      <c r="M33" s="5">
        <v>2142.525650352457</v>
      </c>
      <c r="N33" s="11">
        <v>3300.9904297217972</v>
      </c>
      <c r="O33" s="13">
        <v>2024</v>
      </c>
    </row>
    <row r="34" spans="1:15" ht="14.5" customHeight="1" x14ac:dyDescent="0.35">
      <c r="A34" s="20" t="s">
        <v>57</v>
      </c>
      <c r="B34" s="2" t="s">
        <v>127</v>
      </c>
      <c r="C34" s="2" t="s">
        <v>3107</v>
      </c>
      <c r="D34" s="2" t="s">
        <v>53</v>
      </c>
      <c r="E34" s="2" t="str">
        <f>INDEX([1]Cities!$D$2:$D$63,MATCH(B34,[1]Cities!$B$2:$B$63,0))</f>
        <v>Mid-Hudson</v>
      </c>
      <c r="F34" s="2" t="str">
        <f>INDEX([1]Cities!$E$2:$E$63,MATCH(B34,[1]Cities!$B$2:$B$63,0))</f>
        <v>Downstate</v>
      </c>
      <c r="G34" s="2" t="str">
        <f t="shared" si="0"/>
        <v>Medium</v>
      </c>
      <c r="H34" s="3">
        <v>28856</v>
      </c>
      <c r="I34" s="4">
        <v>3.8</v>
      </c>
      <c r="J34" s="5">
        <v>66043.723904907121</v>
      </c>
      <c r="K34" s="6">
        <v>1.2282456493208645E-2</v>
      </c>
      <c r="L34" s="5">
        <v>1426.858123093984</v>
      </c>
      <c r="M34" s="5">
        <v>2615.3255128915998</v>
      </c>
      <c r="N34" s="11">
        <v>3430.9801427779316</v>
      </c>
      <c r="O34" s="13">
        <v>2024</v>
      </c>
    </row>
    <row r="35" spans="1:15" ht="14.5" customHeight="1" x14ac:dyDescent="0.35">
      <c r="A35" s="20" t="s">
        <v>58</v>
      </c>
      <c r="B35" s="2" t="s">
        <v>128</v>
      </c>
      <c r="C35" s="2" t="s">
        <v>3107</v>
      </c>
      <c r="D35" s="2" t="s">
        <v>48</v>
      </c>
      <c r="E35" s="2" t="str">
        <f>INDEX([1]Cities!$D$2:$D$63,MATCH(B35,[1]Cities!$B$2:$B$63,0))</f>
        <v>Western New York</v>
      </c>
      <c r="F35" s="2" t="str">
        <f>INDEX([1]Cities!$E$2:$E$63,MATCH(B35,[1]Cities!$B$2:$B$63,0))</f>
        <v>Upstate</v>
      </c>
      <c r="G35" s="2" t="str">
        <f t="shared" si="0"/>
        <v>Medium</v>
      </c>
      <c r="H35" s="3">
        <v>48671</v>
      </c>
      <c r="I35" s="4">
        <v>14.1</v>
      </c>
      <c r="J35" s="5">
        <v>49250.88360625424</v>
      </c>
      <c r="K35" s="6">
        <v>1.3021129026092253E-2</v>
      </c>
      <c r="L35" s="5">
        <v>1367.1709025908651</v>
      </c>
      <c r="M35" s="5">
        <v>656.85932074541313</v>
      </c>
      <c r="N35" s="11">
        <v>3264.6815762980009</v>
      </c>
      <c r="O35" s="13">
        <v>2024</v>
      </c>
    </row>
    <row r="36" spans="1:15" ht="14.5" customHeight="1" x14ac:dyDescent="0.35">
      <c r="A36" s="20" t="s">
        <v>59</v>
      </c>
      <c r="B36" s="2" t="s">
        <v>129</v>
      </c>
      <c r="C36" s="2" t="s">
        <v>3107</v>
      </c>
      <c r="D36" s="2" t="s">
        <v>48</v>
      </c>
      <c r="E36" s="2" t="str">
        <f>INDEX([1]Cities!$D$2:$D$63,MATCH(B36,[1]Cities!$B$2:$B$63,0))</f>
        <v>Western New York</v>
      </c>
      <c r="F36" s="2" t="str">
        <f>INDEX([1]Cities!$E$2:$E$63,MATCH(B36,[1]Cities!$B$2:$B$63,0))</f>
        <v>Upstate</v>
      </c>
      <c r="G36" s="2" t="str">
        <f t="shared" si="0"/>
        <v>Medium</v>
      </c>
      <c r="H36" s="3">
        <v>30496</v>
      </c>
      <c r="I36" s="4">
        <v>10.1</v>
      </c>
      <c r="J36" s="5">
        <v>80150.186516264424</v>
      </c>
      <c r="K36" s="6" t="s">
        <v>27</v>
      </c>
      <c r="L36" s="5">
        <v>0</v>
      </c>
      <c r="M36" s="5">
        <v>0</v>
      </c>
      <c r="N36" s="11">
        <v>0</v>
      </c>
      <c r="O36" s="13">
        <v>2024</v>
      </c>
    </row>
    <row r="37" spans="1:15" ht="14.5" customHeight="1" x14ac:dyDescent="0.35">
      <c r="A37" s="20" t="s">
        <v>60</v>
      </c>
      <c r="B37" s="2" t="s">
        <v>130</v>
      </c>
      <c r="C37" s="2" t="s">
        <v>3107</v>
      </c>
      <c r="D37" s="2" t="s">
        <v>61</v>
      </c>
      <c r="E37" s="2" t="str">
        <f>INDEX([1]Cities!$D$2:$D$63,MATCH(B37,[1]Cities!$B$2:$B$63,0))</f>
        <v>Southern Tier</v>
      </c>
      <c r="F37" s="2" t="str">
        <f>INDEX([1]Cities!$E$2:$E$63,MATCH(B37,[1]Cities!$B$2:$B$63,0))</f>
        <v>Upstate</v>
      </c>
      <c r="G37" s="2" t="str">
        <f t="shared" si="0"/>
        <v>Small</v>
      </c>
      <c r="H37" s="3">
        <v>7051</v>
      </c>
      <c r="I37" s="4">
        <v>2.1</v>
      </c>
      <c r="J37" s="5">
        <v>40845.883846262943</v>
      </c>
      <c r="K37" s="6">
        <v>1.2151621041443588E-2</v>
      </c>
      <c r="L37" s="5">
        <v>890.82327329456825</v>
      </c>
      <c r="M37" s="5">
        <v>1048.5604878740605</v>
      </c>
      <c r="N37" s="11">
        <v>2148.9161154446178</v>
      </c>
      <c r="O37" s="13">
        <v>2024</v>
      </c>
    </row>
    <row r="38" spans="1:15" ht="14.5" customHeight="1" x14ac:dyDescent="0.35">
      <c r="A38" s="20" t="s">
        <v>62</v>
      </c>
      <c r="B38" s="2" t="s">
        <v>131</v>
      </c>
      <c r="C38" s="2" t="s">
        <v>3107</v>
      </c>
      <c r="D38" s="2" t="s">
        <v>63</v>
      </c>
      <c r="E38" s="2" t="str">
        <f>INDEX([1]Cities!$D$2:$D$63,MATCH(B38,[1]Cities!$B$2:$B$63,0))</f>
        <v>North Country</v>
      </c>
      <c r="F38" s="2" t="str">
        <f>INDEX([1]Cities!$E$2:$E$63,MATCH(B38,[1]Cities!$B$2:$B$63,0))</f>
        <v>Upstate</v>
      </c>
      <c r="G38" s="2" t="str">
        <f t="shared" si="0"/>
        <v>Medium</v>
      </c>
      <c r="H38" s="3">
        <v>10064</v>
      </c>
      <c r="I38" s="4">
        <v>5</v>
      </c>
      <c r="J38" s="5">
        <v>35499.180842607311</v>
      </c>
      <c r="K38" s="6">
        <v>1.6269407048388081E-2</v>
      </c>
      <c r="L38" s="5">
        <v>892.77927961049284</v>
      </c>
      <c r="M38" s="5">
        <v>3604.9779411764707</v>
      </c>
      <c r="N38" s="11">
        <v>2271.3597446343401</v>
      </c>
      <c r="O38" s="13">
        <v>2024</v>
      </c>
    </row>
    <row r="39" spans="1:15" ht="14.5" customHeight="1" x14ac:dyDescent="0.35">
      <c r="A39" s="20" t="s">
        <v>64</v>
      </c>
      <c r="B39" s="2" t="s">
        <v>132</v>
      </c>
      <c r="C39" s="2" t="s">
        <v>3107</v>
      </c>
      <c r="D39" s="2" t="s">
        <v>65</v>
      </c>
      <c r="E39" s="2" t="str">
        <f>INDEX([1]Cities!$D$2:$D$63,MATCH(B39,[1]Cities!$B$2:$B$63,0))</f>
        <v>Western New York</v>
      </c>
      <c r="F39" s="2" t="str">
        <f>INDEX([1]Cities!$E$2:$E$63,MATCH(B39,[1]Cities!$B$2:$B$63,0))</f>
        <v>Upstate</v>
      </c>
      <c r="G39" s="2" t="str">
        <f t="shared" si="0"/>
        <v>Medium</v>
      </c>
      <c r="H39" s="3">
        <v>13937</v>
      </c>
      <c r="I39" s="4">
        <v>5.9</v>
      </c>
      <c r="J39" s="5">
        <v>40477.803114013055</v>
      </c>
      <c r="K39" s="6">
        <v>1.3692182344617386E-2</v>
      </c>
      <c r="L39" s="5">
        <v>949.56080935638943</v>
      </c>
      <c r="M39" s="5">
        <v>2409.3644256296188</v>
      </c>
      <c r="N39" s="11">
        <v>2495.0654373251059</v>
      </c>
      <c r="O39" s="13">
        <v>2024</v>
      </c>
    </row>
    <row r="40" spans="1:15" ht="14.5" customHeight="1" x14ac:dyDescent="0.35">
      <c r="A40" s="20" t="s">
        <v>66</v>
      </c>
      <c r="B40" s="2" t="s">
        <v>81</v>
      </c>
      <c r="C40" s="2" t="s">
        <v>3107</v>
      </c>
      <c r="D40" s="2" t="s">
        <v>67</v>
      </c>
      <c r="E40" s="2" t="str">
        <f>INDEX([1]Cities!$D$2:$D$63,MATCH(B40,[1]Cities!$B$2:$B$63,0))</f>
        <v>Central New York</v>
      </c>
      <c r="F40" s="2" t="str">
        <f>INDEX([1]Cities!$E$2:$E$63,MATCH(B40,[1]Cities!$B$2:$B$63,0))</f>
        <v>Upstate</v>
      </c>
      <c r="G40" s="2" t="str">
        <f t="shared" si="0"/>
        <v>Medium</v>
      </c>
      <c r="H40" s="3">
        <v>10329</v>
      </c>
      <c r="I40" s="4">
        <v>22.1</v>
      </c>
      <c r="J40" s="5">
        <v>61897.246490463745</v>
      </c>
      <c r="K40" s="6">
        <v>8.3402001667481421E-3</v>
      </c>
      <c r="L40" s="5">
        <v>1215.4803098073385</v>
      </c>
      <c r="M40" s="5">
        <v>7009.934940458902</v>
      </c>
      <c r="N40" s="11">
        <v>2828.2765059541098</v>
      </c>
      <c r="O40" s="13">
        <v>2024</v>
      </c>
    </row>
    <row r="41" spans="1:15" ht="14.5" customHeight="1" x14ac:dyDescent="0.35">
      <c r="A41" s="20" t="s">
        <v>68</v>
      </c>
      <c r="B41" s="2" t="s">
        <v>133</v>
      </c>
      <c r="C41" s="2" t="s">
        <v>3107</v>
      </c>
      <c r="D41" s="2" t="s">
        <v>69</v>
      </c>
      <c r="E41" s="2" t="str">
        <f>INDEX([1]Cities!$D$2:$D$63,MATCH(B41,[1]Cities!$B$2:$B$63,0))</f>
        <v>Southern Tier</v>
      </c>
      <c r="F41" s="2" t="str">
        <f>INDEX([1]Cities!$E$2:$E$63,MATCH(B41,[1]Cities!$B$2:$B$63,0))</f>
        <v>Upstate</v>
      </c>
      <c r="G41" s="2" t="str">
        <f t="shared" si="0"/>
        <v>Medium</v>
      </c>
      <c r="H41" s="3">
        <v>13079</v>
      </c>
      <c r="I41" s="4">
        <v>4.4000000000000004</v>
      </c>
      <c r="J41" s="5">
        <v>46909.485969875372</v>
      </c>
      <c r="K41" s="6">
        <v>9.46824097769422E-3</v>
      </c>
      <c r="L41" s="5">
        <v>972.12193745699199</v>
      </c>
      <c r="M41" s="5">
        <v>1946.3692629405919</v>
      </c>
      <c r="N41" s="11">
        <v>3185.8732991818947</v>
      </c>
      <c r="O41" s="13">
        <v>2024</v>
      </c>
    </row>
    <row r="42" spans="1:15" ht="14.5" customHeight="1" x14ac:dyDescent="0.35">
      <c r="A42" s="20" t="s">
        <v>70</v>
      </c>
      <c r="B42" s="2" t="s">
        <v>26</v>
      </c>
      <c r="C42" s="2" t="s">
        <v>3107</v>
      </c>
      <c r="D42" s="2" t="s">
        <v>26</v>
      </c>
      <c r="E42" s="2" t="str">
        <f>INDEX([1]Cities!$D$2:$D$63,MATCH(B42,[1]Cities!$B$2:$B$63,0))</f>
        <v>Central New York</v>
      </c>
      <c r="F42" s="2" t="str">
        <f>INDEX([1]Cities!$E$2:$E$63,MATCH(B42,[1]Cities!$B$2:$B$63,0))</f>
        <v>Upstate</v>
      </c>
      <c r="G42" s="2" t="str">
        <f t="shared" si="0"/>
        <v>Medium</v>
      </c>
      <c r="H42" s="3">
        <v>16921</v>
      </c>
      <c r="I42" s="4">
        <v>7.6</v>
      </c>
      <c r="J42" s="5">
        <v>60754.311447313987</v>
      </c>
      <c r="K42" s="6">
        <v>1.275911338324549E-2</v>
      </c>
      <c r="L42" s="5">
        <v>2120.8748891909463</v>
      </c>
      <c r="M42" s="5">
        <v>4685.0061462088534</v>
      </c>
      <c r="N42" s="11">
        <v>4093.3546480704449</v>
      </c>
      <c r="O42" s="13">
        <v>2024</v>
      </c>
    </row>
    <row r="43" spans="1:15" ht="14.5" customHeight="1" x14ac:dyDescent="0.35">
      <c r="A43" s="20" t="s">
        <v>71</v>
      </c>
      <c r="B43" s="2" t="s">
        <v>134</v>
      </c>
      <c r="C43" s="2" t="s">
        <v>3107</v>
      </c>
      <c r="D43" s="2" t="s">
        <v>55</v>
      </c>
      <c r="E43" s="2" t="str">
        <f>INDEX([1]Cities!$D$2:$D$63,MATCH(B43,[1]Cities!$B$2:$B$63,0))</f>
        <v>Mid-Hudson</v>
      </c>
      <c r="F43" s="2" t="str">
        <f>INDEX([1]Cities!$E$2:$E$63,MATCH(B43,[1]Cities!$B$2:$B$63,0))</f>
        <v>Downstate</v>
      </c>
      <c r="G43" s="2" t="str">
        <f t="shared" si="0"/>
        <v>Medium</v>
      </c>
      <c r="H43" s="3">
        <v>25431</v>
      </c>
      <c r="I43" s="4">
        <v>4.4000000000000004</v>
      </c>
      <c r="J43" s="5">
        <v>106153.28307970587</v>
      </c>
      <c r="K43" s="6">
        <v>6.9149617193150631E-3</v>
      </c>
      <c r="L43" s="5">
        <v>1405.9047619047619</v>
      </c>
      <c r="M43" s="5">
        <v>1497.8464865715073</v>
      </c>
      <c r="N43" s="11">
        <v>3040.0917777515629</v>
      </c>
      <c r="O43" s="13">
        <v>2024</v>
      </c>
    </row>
    <row r="44" spans="1:15" ht="14.5" customHeight="1" x14ac:dyDescent="0.35">
      <c r="A44" s="20" t="s">
        <v>72</v>
      </c>
      <c r="B44" s="2" t="s">
        <v>135</v>
      </c>
      <c r="C44" s="2" t="s">
        <v>3107</v>
      </c>
      <c r="D44" s="2" t="s">
        <v>73</v>
      </c>
      <c r="E44" s="2" t="str">
        <f>INDEX([1]Cities!$D$2:$D$63,MATCH(B44,[1]Cities!$B$2:$B$63,0))</f>
        <v>North Country</v>
      </c>
      <c r="F44" s="2" t="str">
        <f>INDEX([1]Cities!$E$2:$E$63,MATCH(B44,[1]Cities!$B$2:$B$63,0))</f>
        <v>Upstate</v>
      </c>
      <c r="G44" s="2" t="str">
        <f t="shared" si="0"/>
        <v>Medium</v>
      </c>
      <c r="H44" s="3">
        <v>19841</v>
      </c>
      <c r="I44" s="4">
        <v>5</v>
      </c>
      <c r="J44" s="5">
        <v>61247.10755506275</v>
      </c>
      <c r="K44" s="6">
        <v>1.007632145763895E-2</v>
      </c>
      <c r="L44" s="5">
        <v>934.26233455975</v>
      </c>
      <c r="M44" s="5">
        <v>2080.578083765939</v>
      </c>
      <c r="N44" s="11">
        <v>5340.0323794163596</v>
      </c>
      <c r="O44" s="13">
        <v>2024</v>
      </c>
    </row>
    <row r="45" spans="1:15" ht="14.5" customHeight="1" x14ac:dyDescent="0.35">
      <c r="A45" s="20" t="s">
        <v>74</v>
      </c>
      <c r="B45" s="2" t="s">
        <v>136</v>
      </c>
      <c r="C45" s="2" t="s">
        <v>3107</v>
      </c>
      <c r="D45" s="2" t="s">
        <v>53</v>
      </c>
      <c r="E45" s="2" t="str">
        <f>INDEX([1]Cities!$D$2:$D$63,MATCH(B45,[1]Cities!$B$2:$B$63,0))</f>
        <v>Mid-Hudson</v>
      </c>
      <c r="F45" s="2" t="str">
        <f>INDEX([1]Cities!$E$2:$E$63,MATCH(B45,[1]Cities!$B$2:$B$63,0))</f>
        <v>Downstate</v>
      </c>
      <c r="G45" s="2" t="str">
        <f t="shared" si="0"/>
        <v>Small</v>
      </c>
      <c r="H45" s="3">
        <v>8775</v>
      </c>
      <c r="I45" s="4">
        <v>2.5</v>
      </c>
      <c r="J45" s="5">
        <v>74258.698233618226</v>
      </c>
      <c r="K45" s="6" t="s">
        <v>27</v>
      </c>
      <c r="L45" s="5">
        <v>0</v>
      </c>
      <c r="M45" s="5">
        <v>0</v>
      </c>
      <c r="N45" s="11">
        <v>0</v>
      </c>
      <c r="O45" s="13">
        <v>2024</v>
      </c>
    </row>
    <row r="46" spans="1:15" ht="14.5" customHeight="1" x14ac:dyDescent="0.35">
      <c r="A46" s="20" t="s">
        <v>75</v>
      </c>
      <c r="B46" s="2" t="s">
        <v>137</v>
      </c>
      <c r="C46" s="2" t="s">
        <v>3107</v>
      </c>
      <c r="D46" s="2" t="s">
        <v>9</v>
      </c>
      <c r="E46" s="2" t="str">
        <f>INDEX([1]Cities!$D$2:$D$63,MATCH(B46,[1]Cities!$B$2:$B$63,0))</f>
        <v>Mid-Hudson</v>
      </c>
      <c r="F46" s="2" t="str">
        <f>INDEX([1]Cities!$E$2:$E$63,MATCH(B46,[1]Cities!$B$2:$B$63,0))</f>
        <v>Downstate</v>
      </c>
      <c r="G46" s="2" t="str">
        <f t="shared" si="0"/>
        <v>Medium</v>
      </c>
      <c r="H46" s="3">
        <v>31577</v>
      </c>
      <c r="I46" s="4">
        <v>5.0999999999999996</v>
      </c>
      <c r="J46" s="5">
        <v>80511.815118598985</v>
      </c>
      <c r="K46" s="6">
        <v>1.1210763483640578E-2</v>
      </c>
      <c r="L46" s="5">
        <v>1416.0730278367166</v>
      </c>
      <c r="M46" s="5">
        <v>1573.4823764132123</v>
      </c>
      <c r="N46" s="11">
        <v>3058.877157424708</v>
      </c>
      <c r="O46" s="13">
        <v>2024</v>
      </c>
    </row>
    <row r="47" spans="1:15" ht="14.5" customHeight="1" x14ac:dyDescent="0.35">
      <c r="A47" s="20" t="s">
        <v>76</v>
      </c>
      <c r="B47" s="2" t="s">
        <v>77</v>
      </c>
      <c r="C47" s="2" t="s">
        <v>3107</v>
      </c>
      <c r="D47" s="2" t="s">
        <v>77</v>
      </c>
      <c r="E47" s="2" t="str">
        <f>INDEX([1]Cities!$D$2:$D$63,MATCH(B47,[1]Cities!$B$2:$B$63,0))</f>
        <v>Capital</v>
      </c>
      <c r="F47" s="2" t="str">
        <f>INDEX([1]Cities!$E$2:$E$63,MATCH(B47,[1]Cities!$B$2:$B$63,0))</f>
        <v>Upstate</v>
      </c>
      <c r="G47" s="2" t="str">
        <f t="shared" si="0"/>
        <v>Small</v>
      </c>
      <c r="H47" s="3">
        <v>9210</v>
      </c>
      <c r="I47" s="4">
        <v>3.2</v>
      </c>
      <c r="J47" s="5">
        <v>67221.343648208465</v>
      </c>
      <c r="K47" s="6" t="s">
        <v>27</v>
      </c>
      <c r="L47" s="5">
        <v>0</v>
      </c>
      <c r="M47" s="5">
        <v>0</v>
      </c>
      <c r="N47" s="11">
        <v>0</v>
      </c>
      <c r="O47" s="13">
        <v>2024</v>
      </c>
    </row>
    <row r="48" spans="1:15" ht="14.5" customHeight="1" x14ac:dyDescent="0.35">
      <c r="A48" s="20" t="s">
        <v>78</v>
      </c>
      <c r="B48" s="2" t="s">
        <v>138</v>
      </c>
      <c r="C48" s="2" t="s">
        <v>3107</v>
      </c>
      <c r="D48" s="2" t="s">
        <v>79</v>
      </c>
      <c r="E48" s="2" t="str">
        <f>INDEX([1]Cities!$D$2:$D$63,MATCH(B48,[1]Cities!$B$2:$B$63,0))</f>
        <v>Finger Lakes</v>
      </c>
      <c r="F48" s="2" t="str">
        <f>INDEX([1]Cities!$E$2:$E$63,MATCH(B48,[1]Cities!$B$2:$B$63,0))</f>
        <v>Upstate</v>
      </c>
      <c r="G48" s="2" t="str">
        <f t="shared" si="0"/>
        <v>Large</v>
      </c>
      <c r="H48" s="3">
        <v>211328</v>
      </c>
      <c r="I48" s="4">
        <v>35.799999999999997</v>
      </c>
      <c r="J48" s="5">
        <v>43659.605012113869</v>
      </c>
      <c r="K48" s="6">
        <v>7.3452605123307275E-3</v>
      </c>
      <c r="L48" s="5">
        <v>1401.3295232529529</v>
      </c>
      <c r="M48" s="5">
        <v>1528.500719261054</v>
      </c>
      <c r="N48" s="11">
        <v>3831.0647951998785</v>
      </c>
      <c r="O48" s="13">
        <v>2024</v>
      </c>
    </row>
    <row r="49" spans="1:15" ht="14.5" customHeight="1" x14ac:dyDescent="0.35">
      <c r="A49" s="20" t="s">
        <v>80</v>
      </c>
      <c r="B49" s="2" t="s">
        <v>139</v>
      </c>
      <c r="C49" s="2" t="s">
        <v>3107</v>
      </c>
      <c r="D49" s="2" t="s">
        <v>81</v>
      </c>
      <c r="E49" s="2" t="str">
        <f>INDEX([1]Cities!$D$2:$D$63,MATCH(B49,[1]Cities!$B$2:$B$63,0))</f>
        <v>Mohawk Valley</v>
      </c>
      <c r="F49" s="2" t="str">
        <f>INDEX([1]Cities!$E$2:$E$63,MATCH(B49,[1]Cities!$B$2:$B$63,0))</f>
        <v>Upstate</v>
      </c>
      <c r="G49" s="2" t="str">
        <f t="shared" si="0"/>
        <v>Medium</v>
      </c>
      <c r="H49" s="3">
        <v>32127</v>
      </c>
      <c r="I49" s="4">
        <v>74.8</v>
      </c>
      <c r="J49" s="5">
        <v>57816.528434027452</v>
      </c>
      <c r="K49" s="6">
        <v>8.1529429180093593E-3</v>
      </c>
      <c r="L49" s="5">
        <v>969.66744482833758</v>
      </c>
      <c r="M49" s="5">
        <v>3055.9981324119899</v>
      </c>
      <c r="N49" s="11">
        <v>2984.8586547141035</v>
      </c>
      <c r="O49" s="13">
        <v>2024</v>
      </c>
    </row>
    <row r="50" spans="1:15" ht="14.5" customHeight="1" x14ac:dyDescent="0.35">
      <c r="A50" s="20" t="s">
        <v>82</v>
      </c>
      <c r="B50" s="2" t="s">
        <v>140</v>
      </c>
      <c r="C50" s="2" t="s">
        <v>3107</v>
      </c>
      <c r="D50" s="2" t="s">
        <v>55</v>
      </c>
      <c r="E50" s="2" t="str">
        <f>INDEX([1]Cities!$D$2:$D$63,MATCH(B50,[1]Cities!$B$2:$B$63,0))</f>
        <v>Mid-Hudson</v>
      </c>
      <c r="F50" s="2" t="str">
        <f>INDEX([1]Cities!$E$2:$E$63,MATCH(B50,[1]Cities!$B$2:$B$63,0))</f>
        <v>Downstate</v>
      </c>
      <c r="G50" s="2" t="str">
        <f t="shared" si="0"/>
        <v>Medium</v>
      </c>
      <c r="H50" s="3">
        <v>16592</v>
      </c>
      <c r="I50" s="4">
        <v>5.9</v>
      </c>
      <c r="J50" s="5">
        <v>690780.27706123434</v>
      </c>
      <c r="K50" s="6">
        <v>2.4856680235615112E-3</v>
      </c>
      <c r="L50" s="5">
        <v>2074.2454194792672</v>
      </c>
      <c r="M50" s="5">
        <v>1032.4252651880424</v>
      </c>
      <c r="N50" s="11">
        <v>4173.0034956605596</v>
      </c>
      <c r="O50" s="13">
        <v>2024</v>
      </c>
    </row>
    <row r="51" spans="1:15" ht="14.5" customHeight="1" x14ac:dyDescent="0.35">
      <c r="A51" s="20" t="s">
        <v>83</v>
      </c>
      <c r="B51" s="2" t="s">
        <v>141</v>
      </c>
      <c r="C51" s="2" t="s">
        <v>3107</v>
      </c>
      <c r="D51" s="2" t="s">
        <v>65</v>
      </c>
      <c r="E51" s="2" t="str">
        <f>INDEX([1]Cities!$D$2:$D$63,MATCH(B51,[1]Cities!$B$2:$B$63,0))</f>
        <v>Western New York</v>
      </c>
      <c r="F51" s="2" t="str">
        <f>INDEX([1]Cities!$E$2:$E$63,MATCH(B51,[1]Cities!$B$2:$B$63,0))</f>
        <v>Upstate</v>
      </c>
      <c r="G51" s="2" t="str">
        <f t="shared" si="0"/>
        <v>Small</v>
      </c>
      <c r="H51" s="3">
        <v>5929</v>
      </c>
      <c r="I51" s="4">
        <v>6</v>
      </c>
      <c r="J51" s="5">
        <v>18482.804520155169</v>
      </c>
      <c r="K51" s="6" t="s">
        <v>27</v>
      </c>
      <c r="L51" s="5">
        <v>0</v>
      </c>
      <c r="M51" s="5">
        <v>0</v>
      </c>
      <c r="N51" s="11">
        <v>0</v>
      </c>
      <c r="O51" s="13">
        <v>2024</v>
      </c>
    </row>
    <row r="52" spans="1:15" ht="14.5" customHeight="1" x14ac:dyDescent="0.35">
      <c r="A52" s="20" t="s">
        <v>84</v>
      </c>
      <c r="B52" s="2" t="s">
        <v>142</v>
      </c>
      <c r="C52" s="2" t="s">
        <v>3107</v>
      </c>
      <c r="D52" s="2" t="s">
        <v>51</v>
      </c>
      <c r="E52" s="2" t="str">
        <f>INDEX([1]Cities!$D$2:$D$63,MATCH(B52,[1]Cities!$B$2:$B$63,0))</f>
        <v>Capital</v>
      </c>
      <c r="F52" s="2" t="str">
        <f>INDEX([1]Cities!$E$2:$E$63,MATCH(B52,[1]Cities!$B$2:$B$63,0))</f>
        <v>Upstate</v>
      </c>
      <c r="G52" s="2" t="str">
        <f t="shared" si="0"/>
        <v>Medium</v>
      </c>
      <c r="H52" s="3">
        <v>28491</v>
      </c>
      <c r="I52" s="4">
        <v>28.1</v>
      </c>
      <c r="J52" s="5">
        <v>227318.92481836368</v>
      </c>
      <c r="K52" s="6">
        <v>3.5161003775716639E-3</v>
      </c>
      <c r="L52" s="5">
        <v>1614.8357025025446</v>
      </c>
      <c r="M52" s="5">
        <v>3914.096556807413</v>
      </c>
      <c r="N52" s="11">
        <v>3113.8704854164471</v>
      </c>
      <c r="O52" s="13">
        <v>2024</v>
      </c>
    </row>
    <row r="53" spans="1:15" ht="14.5" customHeight="1" x14ac:dyDescent="0.35">
      <c r="A53" s="20" t="s">
        <v>85</v>
      </c>
      <c r="B53" s="2" t="s">
        <v>86</v>
      </c>
      <c r="C53" s="2" t="s">
        <v>3107</v>
      </c>
      <c r="D53" s="2" t="s">
        <v>86</v>
      </c>
      <c r="E53" s="2" t="str">
        <f>INDEX([1]Cities!$D$2:$D$63,MATCH(B53,[1]Cities!$B$2:$B$63,0))</f>
        <v>Capital</v>
      </c>
      <c r="F53" s="2" t="str">
        <f>INDEX([1]Cities!$E$2:$E$63,MATCH(B53,[1]Cities!$B$2:$B$63,0))</f>
        <v>Upstate</v>
      </c>
      <c r="G53" s="2" t="str">
        <f t="shared" si="0"/>
        <v>Medium</v>
      </c>
      <c r="H53" s="3">
        <v>67047</v>
      </c>
      <c r="I53" s="4">
        <v>10.8</v>
      </c>
      <c r="J53" s="5">
        <v>46651.898339970467</v>
      </c>
      <c r="K53" s="6">
        <v>1.0288726120222674E-2</v>
      </c>
      <c r="L53" s="5">
        <v>859.53838352200694</v>
      </c>
      <c r="M53" s="5">
        <v>2439.8842602950167</v>
      </c>
      <c r="N53" s="11">
        <v>2654.5765806076333</v>
      </c>
      <c r="O53" s="13">
        <v>2024</v>
      </c>
    </row>
    <row r="54" spans="1:15" ht="14.5" customHeight="1" x14ac:dyDescent="0.35">
      <c r="A54" s="20" t="s">
        <v>87</v>
      </c>
      <c r="B54" s="2" t="s">
        <v>143</v>
      </c>
      <c r="C54" s="2" t="s">
        <v>3107</v>
      </c>
      <c r="D54" s="2" t="s">
        <v>81</v>
      </c>
      <c r="E54" s="2" t="str">
        <f>INDEX([1]Cities!$D$2:$D$63,MATCH(B54,[1]Cities!$B$2:$B$63,0))</f>
        <v>Mohawk Valley</v>
      </c>
      <c r="F54" s="2" t="str">
        <f>INDEX([1]Cities!$E$2:$E$63,MATCH(B54,[1]Cities!$B$2:$B$63,0))</f>
        <v>Upstate</v>
      </c>
      <c r="G54" s="2" t="str">
        <f t="shared" si="0"/>
        <v>Small</v>
      </c>
      <c r="H54" s="3">
        <v>3077</v>
      </c>
      <c r="I54" s="4">
        <v>2.2999999999999998</v>
      </c>
      <c r="J54" s="5">
        <v>91279.396815079628</v>
      </c>
      <c r="K54" s="6">
        <v>3.5227208704667252E-3</v>
      </c>
      <c r="L54" s="5">
        <v>769.01657458563534</v>
      </c>
      <c r="M54" s="5">
        <v>1912.5771855703608</v>
      </c>
      <c r="N54" s="11">
        <v>3095.2840428989275</v>
      </c>
      <c r="O54" s="13">
        <v>2024</v>
      </c>
    </row>
    <row r="55" spans="1:15" ht="14.5" customHeight="1" x14ac:dyDescent="0.35">
      <c r="A55" s="20" t="s">
        <v>88</v>
      </c>
      <c r="B55" s="2" t="s">
        <v>144</v>
      </c>
      <c r="C55" s="2" t="s">
        <v>3107</v>
      </c>
      <c r="D55" s="2" t="s">
        <v>89</v>
      </c>
      <c r="E55" s="2" t="str">
        <f>INDEX([1]Cities!$D$2:$D$63,MATCH(B55,[1]Cities!$B$2:$B$63,0))</f>
        <v>Central New York</v>
      </c>
      <c r="F55" s="2" t="str">
        <f>INDEX([1]Cities!$E$2:$E$63,MATCH(B55,[1]Cities!$B$2:$B$63,0))</f>
        <v>Upstate</v>
      </c>
      <c r="G55" s="2" t="str">
        <f t="shared" si="0"/>
        <v>Large</v>
      </c>
      <c r="H55" s="3">
        <v>148620</v>
      </c>
      <c r="I55" s="4">
        <v>25</v>
      </c>
      <c r="J55" s="5">
        <v>43283.774465078721</v>
      </c>
      <c r="K55" s="6">
        <v>7.2865570465896531E-3</v>
      </c>
      <c r="L55" s="5">
        <v>1229.9646682815232</v>
      </c>
      <c r="M55" s="5">
        <v>1355.8807697483514</v>
      </c>
      <c r="N55" s="11">
        <v>2931.2042457273583</v>
      </c>
      <c r="O55" s="13">
        <v>2024</v>
      </c>
    </row>
    <row r="56" spans="1:15" ht="14.5" customHeight="1" x14ac:dyDescent="0.35">
      <c r="A56" s="20" t="s">
        <v>90</v>
      </c>
      <c r="B56" s="2" t="s">
        <v>145</v>
      </c>
      <c r="C56" s="2" t="s">
        <v>3107</v>
      </c>
      <c r="D56" s="2" t="s">
        <v>13</v>
      </c>
      <c r="E56" s="2" t="str">
        <f>INDEX([1]Cities!$D$2:$D$63,MATCH(B56,[1]Cities!$B$2:$B$63,0))</f>
        <v>Western New York</v>
      </c>
      <c r="F56" s="2" t="str">
        <f>INDEX([1]Cities!$E$2:$E$63,MATCH(B56,[1]Cities!$B$2:$B$63,0))</f>
        <v>Upstate</v>
      </c>
      <c r="G56" s="2" t="str">
        <f t="shared" si="0"/>
        <v>Medium</v>
      </c>
      <c r="H56" s="3">
        <v>15129</v>
      </c>
      <c r="I56" s="4">
        <v>3.8</v>
      </c>
      <c r="J56" s="5">
        <v>79824.218785114674</v>
      </c>
      <c r="K56" s="6" t="s">
        <v>27</v>
      </c>
      <c r="L56" s="5">
        <v>0</v>
      </c>
      <c r="M56" s="5">
        <v>0</v>
      </c>
      <c r="N56" s="11">
        <v>0</v>
      </c>
      <c r="O56" s="13">
        <v>2024</v>
      </c>
    </row>
    <row r="57" spans="1:15" ht="14.5" customHeight="1" x14ac:dyDescent="0.35">
      <c r="A57" s="20" t="s">
        <v>91</v>
      </c>
      <c r="B57" s="2" t="s">
        <v>146</v>
      </c>
      <c r="C57" s="2" t="s">
        <v>3107</v>
      </c>
      <c r="D57" s="2" t="s">
        <v>77</v>
      </c>
      <c r="E57" s="2" t="str">
        <f>INDEX([1]Cities!$D$2:$D$63,MATCH(B57,[1]Cities!$B$2:$B$63,0))</f>
        <v>Capital</v>
      </c>
      <c r="F57" s="2" t="str">
        <f>INDEX([1]Cities!$E$2:$E$63,MATCH(B57,[1]Cities!$B$2:$B$63,0))</f>
        <v>Upstate</v>
      </c>
      <c r="G57" s="2" t="str">
        <f t="shared" si="0"/>
        <v>Medium</v>
      </c>
      <c r="H57" s="3">
        <v>51401</v>
      </c>
      <c r="I57" s="4">
        <v>10.4</v>
      </c>
      <c r="J57" s="5">
        <v>50318.919845917393</v>
      </c>
      <c r="K57" s="6">
        <v>1.1084330575988122E-2</v>
      </c>
      <c r="L57" s="5">
        <v>1029.3527168732126</v>
      </c>
      <c r="M57" s="5">
        <v>2024.4106923989805</v>
      </c>
      <c r="N57" s="11">
        <v>2764.6309799420246</v>
      </c>
      <c r="O57" s="13">
        <v>2024</v>
      </c>
    </row>
    <row r="58" spans="1:15" ht="14.5" customHeight="1" x14ac:dyDescent="0.35">
      <c r="A58" s="20" t="s">
        <v>92</v>
      </c>
      <c r="B58" s="2" t="s">
        <v>147</v>
      </c>
      <c r="C58" s="2" t="s">
        <v>3107</v>
      </c>
      <c r="D58" s="2" t="s">
        <v>81</v>
      </c>
      <c r="E58" s="2" t="str">
        <f>INDEX([1]Cities!$D$2:$D$63,MATCH(B58,[1]Cities!$B$2:$B$63,0))</f>
        <v>Mohawk Valley</v>
      </c>
      <c r="F58" s="2" t="str">
        <f>INDEX([1]Cities!$E$2:$E$63,MATCH(B58,[1]Cities!$B$2:$B$63,0))</f>
        <v>Upstate</v>
      </c>
      <c r="G58" s="2" t="str">
        <f t="shared" si="0"/>
        <v>Medium</v>
      </c>
      <c r="H58" s="3">
        <v>65283</v>
      </c>
      <c r="I58" s="4">
        <v>16.8</v>
      </c>
      <c r="J58" s="5">
        <v>35372.601029364458</v>
      </c>
      <c r="K58" s="6">
        <v>1.3143559282060848E-2</v>
      </c>
      <c r="L58" s="5">
        <v>812.34341252699789</v>
      </c>
      <c r="M58" s="5">
        <v>1215.9554248426084</v>
      </c>
      <c r="N58" s="11">
        <v>2312.2910405465436</v>
      </c>
      <c r="O58" s="13">
        <v>2024</v>
      </c>
    </row>
    <row r="59" spans="1:15" ht="14.5" customHeight="1" x14ac:dyDescent="0.35">
      <c r="A59" s="20" t="s">
        <v>93</v>
      </c>
      <c r="B59" s="2" t="s">
        <v>148</v>
      </c>
      <c r="C59" s="2" t="s">
        <v>3107</v>
      </c>
      <c r="D59" s="2" t="s">
        <v>94</v>
      </c>
      <c r="E59" s="2" t="str">
        <f>INDEX([1]Cities!$D$2:$D$63,MATCH(B59,[1]Cities!$B$2:$B$63,0))</f>
        <v>North Country</v>
      </c>
      <c r="F59" s="2" t="str">
        <f>INDEX([1]Cities!$E$2:$E$63,MATCH(B59,[1]Cities!$B$2:$B$63,0))</f>
        <v>Upstate</v>
      </c>
      <c r="G59" s="2" t="str">
        <f t="shared" si="0"/>
        <v>Medium</v>
      </c>
      <c r="H59" s="3">
        <v>24685</v>
      </c>
      <c r="I59" s="4">
        <v>9</v>
      </c>
      <c r="J59" s="5">
        <v>54894.441239619198</v>
      </c>
      <c r="K59" s="6">
        <v>6.8892033226681916E-3</v>
      </c>
      <c r="L59" s="5">
        <v>1431.8499829856187</v>
      </c>
      <c r="M59" s="5">
        <v>1154.7442981567754</v>
      </c>
      <c r="N59" s="11">
        <v>3757.681732631152</v>
      </c>
      <c r="O59" s="13">
        <v>2024</v>
      </c>
    </row>
    <row r="60" spans="1:15" ht="14.5" customHeight="1" x14ac:dyDescent="0.35">
      <c r="A60" s="20" t="s">
        <v>95</v>
      </c>
      <c r="B60" s="2" t="s">
        <v>149</v>
      </c>
      <c r="C60" s="2" t="s">
        <v>3107</v>
      </c>
      <c r="D60" s="2" t="s">
        <v>1</v>
      </c>
      <c r="E60" s="2" t="str">
        <f>INDEX([1]Cities!$D$2:$D$63,MATCH(B60,[1]Cities!$B$2:$B$63,0))</f>
        <v>Capital</v>
      </c>
      <c r="F60" s="2" t="str">
        <f>INDEX([1]Cities!$E$2:$E$63,MATCH(B60,[1]Cities!$B$2:$B$63,0))</f>
        <v>Upstate</v>
      </c>
      <c r="G60" s="2" t="str">
        <f t="shared" si="0"/>
        <v>Medium</v>
      </c>
      <c r="H60" s="3">
        <v>10375</v>
      </c>
      <c r="I60" s="4">
        <v>1.4</v>
      </c>
      <c r="J60" s="5">
        <v>54541.473542168678</v>
      </c>
      <c r="K60" s="6">
        <v>1.0318852643366934E-2</v>
      </c>
      <c r="L60" s="5">
        <v>1077.7142043373492</v>
      </c>
      <c r="M60" s="5">
        <v>846.50183132530117</v>
      </c>
      <c r="N60" s="11">
        <v>2195.985240481928</v>
      </c>
      <c r="O60" s="13">
        <v>2024</v>
      </c>
    </row>
    <row r="61" spans="1:15" ht="14.5" customHeight="1" x14ac:dyDescent="0.35">
      <c r="A61" s="20" t="s">
        <v>96</v>
      </c>
      <c r="B61" s="2" t="s">
        <v>150</v>
      </c>
      <c r="C61" s="2" t="s">
        <v>3107</v>
      </c>
      <c r="D61" s="2" t="s">
        <v>55</v>
      </c>
      <c r="E61" s="2" t="str">
        <f>INDEX([1]Cities!$D$2:$D$63,MATCH(B61,[1]Cities!$B$2:$B$63,0))</f>
        <v>Mid-Hudson</v>
      </c>
      <c r="F61" s="2" t="str">
        <f>INDEX([1]Cities!$E$2:$E$63,MATCH(B61,[1]Cities!$B$2:$B$63,0))</f>
        <v>Downstate</v>
      </c>
      <c r="G61" s="2" t="str">
        <f t="shared" si="0"/>
        <v>Medium</v>
      </c>
      <c r="H61" s="3">
        <v>59559</v>
      </c>
      <c r="I61" s="4">
        <v>9.8000000000000007</v>
      </c>
      <c r="J61" s="5">
        <v>197782.04953071743</v>
      </c>
      <c r="K61" s="6">
        <v>5.7110178346148543E-3</v>
      </c>
      <c r="L61" s="5">
        <v>2200.1537467049479</v>
      </c>
      <c r="M61" s="5">
        <v>3034.6752128141843</v>
      </c>
      <c r="N61" s="11">
        <v>4174.7179267616984</v>
      </c>
      <c r="O61" s="13">
        <v>2024</v>
      </c>
    </row>
    <row r="62" spans="1:15" ht="14.5" customHeight="1" x14ac:dyDescent="0.35">
      <c r="A62" s="20" t="s">
        <v>97</v>
      </c>
      <c r="B62" s="2" t="s">
        <v>151</v>
      </c>
      <c r="C62" s="2" t="s">
        <v>3107</v>
      </c>
      <c r="D62" s="2" t="s">
        <v>55</v>
      </c>
      <c r="E62" s="2" t="str">
        <f>INDEX([1]Cities!$D$2:$D$63,MATCH(B62,[1]Cities!$B$2:$B$63,0))</f>
        <v>Mid-Hudson</v>
      </c>
      <c r="F62" s="2" t="str">
        <f>INDEX([1]Cities!$E$2:$E$63,MATCH(B62,[1]Cities!$B$2:$B$63,0))</f>
        <v>Downstate</v>
      </c>
      <c r="G62" s="2" t="str">
        <f t="shared" si="0"/>
        <v>Large</v>
      </c>
      <c r="H62" s="3">
        <v>211569</v>
      </c>
      <c r="I62" s="4">
        <v>18</v>
      </c>
      <c r="J62" s="5">
        <v>123181.03176268734</v>
      </c>
      <c r="K62" s="6">
        <v>5.0638786829564492E-3</v>
      </c>
      <c r="L62" s="5">
        <v>1810.4109063709711</v>
      </c>
      <c r="M62" s="5">
        <v>3096.7204825848776</v>
      </c>
      <c r="N62" s="11">
        <v>3579.9111566911974</v>
      </c>
      <c r="O62" s="13">
        <v>2024</v>
      </c>
    </row>
    <row r="63" spans="1:15" ht="14.5" customHeight="1" x14ac:dyDescent="0.35">
      <c r="A63" s="20" t="s">
        <v>167</v>
      </c>
      <c r="B63" s="15" t="s">
        <v>168</v>
      </c>
      <c r="C63" s="15" t="s">
        <v>3108</v>
      </c>
      <c r="D63" s="16" t="s">
        <v>94</v>
      </c>
      <c r="E63" s="15" t="s">
        <v>169</v>
      </c>
      <c r="F63" s="15" t="s">
        <v>170</v>
      </c>
      <c r="G63" s="17" t="str">
        <f>IF(H63&lt;=10000,"Small",(IF(H63&lt;=100000,"Medium",IF(H63&gt;100000,"Large"))))</f>
        <v>Small</v>
      </c>
      <c r="H63" s="3">
        <v>4973</v>
      </c>
      <c r="I63" s="4">
        <v>42.3</v>
      </c>
      <c r="J63" s="5">
        <v>73073.618741202488</v>
      </c>
      <c r="K63" s="6">
        <v>2.3284467677998945E-3</v>
      </c>
      <c r="L63" s="5">
        <v>353.46512165694747</v>
      </c>
      <c r="M63" s="5">
        <v>198.39131309068972</v>
      </c>
      <c r="N63" s="11">
        <v>903.01428916147188</v>
      </c>
      <c r="O63" s="13">
        <v>2024</v>
      </c>
    </row>
    <row r="64" spans="1:15" ht="14.5" customHeight="1" x14ac:dyDescent="0.35">
      <c r="A64" s="20" t="s">
        <v>171</v>
      </c>
      <c r="B64" s="15" t="s">
        <v>172</v>
      </c>
      <c r="C64" s="15" t="s">
        <v>3108</v>
      </c>
      <c r="D64" s="16" t="s">
        <v>18</v>
      </c>
      <c r="E64" s="15" t="s">
        <v>173</v>
      </c>
      <c r="F64" s="15" t="s">
        <v>170</v>
      </c>
      <c r="G64" s="17" t="str">
        <f t="shared" ref="G64:G127" si="1">IF(H64&lt;=10000,"Small",(IF(H64&lt;=100000,"Medium",IF(H64&gt;100000,"Large"))))</f>
        <v>Small</v>
      </c>
      <c r="H64" s="3">
        <v>2397</v>
      </c>
      <c r="I64" s="4">
        <v>25.6</v>
      </c>
      <c r="J64" s="5">
        <v>55645.280767626202</v>
      </c>
      <c r="K64" s="6">
        <v>3.3331324562587421E-3</v>
      </c>
      <c r="L64" s="5">
        <v>268.28410513141426</v>
      </c>
      <c r="M64" s="5">
        <v>0</v>
      </c>
      <c r="N64" s="11">
        <v>339.85607008760951</v>
      </c>
      <c r="O64" s="13">
        <v>2024</v>
      </c>
    </row>
    <row r="65" spans="1:15" ht="14.5" customHeight="1" x14ac:dyDescent="0.35">
      <c r="A65" s="20" t="s">
        <v>174</v>
      </c>
      <c r="B65" s="15" t="s">
        <v>175</v>
      </c>
      <c r="C65" s="15" t="s">
        <v>3108</v>
      </c>
      <c r="D65" s="16" t="s">
        <v>61</v>
      </c>
      <c r="E65" s="15" t="s">
        <v>173</v>
      </c>
      <c r="F65" s="15" t="s">
        <v>170</v>
      </c>
      <c r="G65" s="17" t="str">
        <f t="shared" si="1"/>
        <v>Small</v>
      </c>
      <c r="H65" s="3">
        <v>2769</v>
      </c>
      <c r="I65" s="4">
        <v>45.8</v>
      </c>
      <c r="J65" s="5">
        <v>75165.464788732395</v>
      </c>
      <c r="K65" s="6">
        <v>2.0540935204696733E-3</v>
      </c>
      <c r="L65" s="5">
        <v>295.95485734922357</v>
      </c>
      <c r="M65" s="5">
        <v>0</v>
      </c>
      <c r="N65" s="11">
        <v>503.7244492596605</v>
      </c>
      <c r="O65" s="13">
        <v>2024</v>
      </c>
    </row>
    <row r="66" spans="1:15" ht="14.5" customHeight="1" x14ac:dyDescent="0.35">
      <c r="A66" s="20" t="s">
        <v>176</v>
      </c>
      <c r="B66" s="15" t="s">
        <v>177</v>
      </c>
      <c r="C66" s="15" t="s">
        <v>3108</v>
      </c>
      <c r="D66" s="16" t="s">
        <v>7</v>
      </c>
      <c r="E66" s="15" t="s">
        <v>178</v>
      </c>
      <c r="F66" s="15" t="s">
        <v>170</v>
      </c>
      <c r="G66" s="17" t="str">
        <f t="shared" si="1"/>
        <v>Small</v>
      </c>
      <c r="H66" s="3">
        <v>1602</v>
      </c>
      <c r="I66" s="4">
        <v>42.4</v>
      </c>
      <c r="J66" s="5">
        <v>77172.205992509364</v>
      </c>
      <c r="K66" s="6">
        <v>5.5669585168387371E-3</v>
      </c>
      <c r="L66" s="5">
        <v>672.65602996254677</v>
      </c>
      <c r="M66" s="5">
        <v>3816.4794007490636</v>
      </c>
      <c r="N66" s="11">
        <v>1243.2977153558052</v>
      </c>
      <c r="O66" s="13">
        <v>2024</v>
      </c>
    </row>
    <row r="67" spans="1:15" ht="14.5" customHeight="1" x14ac:dyDescent="0.35">
      <c r="A67" s="20" t="s">
        <v>179</v>
      </c>
      <c r="B67" s="15" t="s">
        <v>180</v>
      </c>
      <c r="C67" s="15" t="s">
        <v>3108</v>
      </c>
      <c r="D67" s="16" t="s">
        <v>181</v>
      </c>
      <c r="E67" s="15" t="s">
        <v>178</v>
      </c>
      <c r="F67" s="15" t="s">
        <v>170</v>
      </c>
      <c r="G67" s="17" t="str">
        <f t="shared" si="1"/>
        <v>Small</v>
      </c>
      <c r="H67" s="3">
        <v>7639</v>
      </c>
      <c r="I67" s="4">
        <v>25.3</v>
      </c>
      <c r="J67" s="5">
        <v>41467.862416546668</v>
      </c>
      <c r="K67" s="6">
        <v>5.3767808324043376E-3</v>
      </c>
      <c r="L67" s="5">
        <v>240.50464720513156</v>
      </c>
      <c r="M67" s="5">
        <v>235.96020421521141</v>
      </c>
      <c r="N67" s="11">
        <v>390.50150543264823</v>
      </c>
      <c r="O67" s="13">
        <v>2024</v>
      </c>
    </row>
    <row r="68" spans="1:15" ht="14.5" customHeight="1" x14ac:dyDescent="0.35">
      <c r="A68" s="20" t="s">
        <v>182</v>
      </c>
      <c r="B68" s="15" t="s">
        <v>180</v>
      </c>
      <c r="C68" s="15" t="s">
        <v>3108</v>
      </c>
      <c r="D68" s="16" t="s">
        <v>26</v>
      </c>
      <c r="E68" s="15" t="s">
        <v>183</v>
      </c>
      <c r="F68" s="15" t="s">
        <v>170</v>
      </c>
      <c r="G68" s="17" t="str">
        <f t="shared" si="1"/>
        <v>Small</v>
      </c>
      <c r="H68" s="3">
        <v>2009</v>
      </c>
      <c r="I68" s="4">
        <v>47.3</v>
      </c>
      <c r="J68" s="5">
        <v>72952.239920358392</v>
      </c>
      <c r="K68" s="6">
        <v>4.6096012549036733E-3</v>
      </c>
      <c r="L68" s="5">
        <v>419.26829268292681</v>
      </c>
      <c r="M68" s="5">
        <v>0</v>
      </c>
      <c r="N68" s="11">
        <v>999.41961174713788</v>
      </c>
      <c r="O68" s="13">
        <v>2024</v>
      </c>
    </row>
    <row r="69" spans="1:15" ht="14.5" customHeight="1" x14ac:dyDescent="0.35">
      <c r="A69" s="20" t="s">
        <v>184</v>
      </c>
      <c r="B69" s="15" t="s">
        <v>185</v>
      </c>
      <c r="C69" s="15" t="s">
        <v>3108</v>
      </c>
      <c r="D69" s="16" t="s">
        <v>13</v>
      </c>
      <c r="E69" s="15" t="s">
        <v>186</v>
      </c>
      <c r="F69" s="15" t="s">
        <v>170</v>
      </c>
      <c r="G69" s="17" t="str">
        <f t="shared" si="1"/>
        <v>Small</v>
      </c>
      <c r="H69" s="3">
        <v>9706</v>
      </c>
      <c r="I69" s="4">
        <v>34.299999999999997</v>
      </c>
      <c r="J69" s="5">
        <v>100316.30774778487</v>
      </c>
      <c r="K69" s="6">
        <v>2.8539862202996329E-3</v>
      </c>
      <c r="L69" s="5">
        <v>424.07098701833917</v>
      </c>
      <c r="M69" s="5">
        <v>153.51329074799094</v>
      </c>
      <c r="N69" s="11">
        <v>507.65454358128994</v>
      </c>
      <c r="O69" s="13">
        <v>2024</v>
      </c>
    </row>
    <row r="70" spans="1:15" ht="14.5" customHeight="1" x14ac:dyDescent="0.35">
      <c r="A70" s="20" t="s">
        <v>187</v>
      </c>
      <c r="B70" s="15" t="s">
        <v>188</v>
      </c>
      <c r="C70" s="15" t="s">
        <v>3108</v>
      </c>
      <c r="D70" s="16" t="s">
        <v>7</v>
      </c>
      <c r="E70" s="15" t="s">
        <v>178</v>
      </c>
      <c r="F70" s="15" t="s">
        <v>170</v>
      </c>
      <c r="G70" s="17" t="str">
        <f t="shared" si="1"/>
        <v>Small</v>
      </c>
      <c r="H70" s="3">
        <v>2491</v>
      </c>
      <c r="I70" s="4">
        <v>35.5</v>
      </c>
      <c r="J70" s="5">
        <v>68582.175431553595</v>
      </c>
      <c r="K70" s="6">
        <v>6.0314555294509985E-3</v>
      </c>
      <c r="L70" s="5">
        <v>589.6563629064633</v>
      </c>
      <c r="M70" s="5">
        <v>3930.14853472501</v>
      </c>
      <c r="N70" s="11">
        <v>1817.6081894821357</v>
      </c>
      <c r="O70" s="13">
        <v>2024</v>
      </c>
    </row>
    <row r="71" spans="1:15" ht="14.5" customHeight="1" x14ac:dyDescent="0.35">
      <c r="A71" s="20" t="s">
        <v>189</v>
      </c>
      <c r="B71" s="15" t="s">
        <v>190</v>
      </c>
      <c r="C71" s="15" t="s">
        <v>3108</v>
      </c>
      <c r="D71" s="16" t="s">
        <v>94</v>
      </c>
      <c r="E71" s="15" t="s">
        <v>169</v>
      </c>
      <c r="F71" s="15" t="s">
        <v>170</v>
      </c>
      <c r="G71" s="17" t="str">
        <f t="shared" si="1"/>
        <v>Small</v>
      </c>
      <c r="H71" s="3">
        <v>3741</v>
      </c>
      <c r="I71" s="4">
        <v>72.7</v>
      </c>
      <c r="J71" s="5">
        <v>250270.2729216787</v>
      </c>
      <c r="K71" s="6">
        <v>8.9453632971702769E-4</v>
      </c>
      <c r="L71" s="5">
        <v>958.07681101309811</v>
      </c>
      <c r="M71" s="5">
        <v>1001.5603501737503</v>
      </c>
      <c r="N71" s="11">
        <v>1478.42797914996</v>
      </c>
      <c r="O71" s="13">
        <v>2024</v>
      </c>
    </row>
    <row r="72" spans="1:15" ht="14.5" customHeight="1" x14ac:dyDescent="0.35">
      <c r="A72" s="20" t="s">
        <v>191</v>
      </c>
      <c r="B72" s="15" t="s">
        <v>192</v>
      </c>
      <c r="C72" s="15" t="s">
        <v>3108</v>
      </c>
      <c r="D72" s="16" t="s">
        <v>193</v>
      </c>
      <c r="E72" s="15" t="s">
        <v>186</v>
      </c>
      <c r="F72" s="15" t="s">
        <v>170</v>
      </c>
      <c r="G72" s="17" t="str">
        <f t="shared" si="1"/>
        <v>Small</v>
      </c>
      <c r="H72" s="3">
        <v>5157</v>
      </c>
      <c r="I72" s="4">
        <v>31.5</v>
      </c>
      <c r="J72" s="5">
        <v>26960.983323637774</v>
      </c>
      <c r="K72" s="6">
        <v>5.0449737079036302E-3</v>
      </c>
      <c r="L72" s="5">
        <v>136.46092689548186</v>
      </c>
      <c r="M72" s="5">
        <v>45.459569517161142</v>
      </c>
      <c r="N72" s="11">
        <v>207.1031607523754</v>
      </c>
      <c r="O72" s="13">
        <v>2024</v>
      </c>
    </row>
    <row r="73" spans="1:15" ht="14.5" customHeight="1" x14ac:dyDescent="0.35">
      <c r="A73" s="20" t="s">
        <v>194</v>
      </c>
      <c r="B73" s="15" t="s">
        <v>193</v>
      </c>
      <c r="C73" s="15" t="s">
        <v>3108</v>
      </c>
      <c r="D73" s="16" t="s">
        <v>65</v>
      </c>
      <c r="E73" s="15" t="s">
        <v>186</v>
      </c>
      <c r="F73" s="15" t="s">
        <v>170</v>
      </c>
      <c r="G73" s="17" t="str">
        <f t="shared" si="1"/>
        <v>Small</v>
      </c>
      <c r="H73" s="3">
        <v>7493</v>
      </c>
      <c r="I73" s="4">
        <v>70.900000000000006</v>
      </c>
      <c r="J73" s="5">
        <v>70019.996129721068</v>
      </c>
      <c r="K73" s="6">
        <v>3.2760600649070848E-3</v>
      </c>
      <c r="L73" s="5">
        <v>394.14223008140931</v>
      </c>
      <c r="M73" s="5">
        <v>52.168690778059521</v>
      </c>
      <c r="N73" s="11">
        <v>644.73319097824628</v>
      </c>
      <c r="O73" s="13">
        <v>2024</v>
      </c>
    </row>
    <row r="74" spans="1:15" ht="14.5" customHeight="1" x14ac:dyDescent="0.35">
      <c r="A74" s="20" t="s">
        <v>195</v>
      </c>
      <c r="B74" s="15" t="s">
        <v>196</v>
      </c>
      <c r="C74" s="15" t="s">
        <v>3108</v>
      </c>
      <c r="D74" s="16" t="s">
        <v>193</v>
      </c>
      <c r="E74" s="15" t="s">
        <v>186</v>
      </c>
      <c r="F74" s="15" t="s">
        <v>170</v>
      </c>
      <c r="G74" s="17" t="str">
        <f t="shared" si="1"/>
        <v>Small</v>
      </c>
      <c r="H74" s="3">
        <v>494</v>
      </c>
      <c r="I74" s="4">
        <v>36.4</v>
      </c>
      <c r="J74" s="5">
        <v>111021.83805668016</v>
      </c>
      <c r="K74" s="6">
        <v>7.4633527619798615E-3</v>
      </c>
      <c r="L74" s="5">
        <v>833.70242914979758</v>
      </c>
      <c r="M74" s="5">
        <v>238.40874493927126</v>
      </c>
      <c r="N74" s="11">
        <v>1322.3965991902835</v>
      </c>
      <c r="O74" s="13">
        <v>2024</v>
      </c>
    </row>
    <row r="75" spans="1:15" ht="14.5" customHeight="1" x14ac:dyDescent="0.35">
      <c r="A75" s="20" t="s">
        <v>197</v>
      </c>
      <c r="B75" s="15" t="s">
        <v>198</v>
      </c>
      <c r="C75" s="15" t="s">
        <v>3108</v>
      </c>
      <c r="D75" s="16" t="s">
        <v>193</v>
      </c>
      <c r="E75" s="15" t="s">
        <v>186</v>
      </c>
      <c r="F75" s="15" t="s">
        <v>170</v>
      </c>
      <c r="G75" s="17" t="str">
        <f t="shared" si="1"/>
        <v>Small</v>
      </c>
      <c r="H75" s="3">
        <v>781</v>
      </c>
      <c r="I75" s="4">
        <v>36.200000000000003</v>
      </c>
      <c r="J75" s="5">
        <v>83839.492957746479</v>
      </c>
      <c r="K75" s="6">
        <v>1.1176911360595678E-2</v>
      </c>
      <c r="L75" s="5">
        <v>941.06402048655571</v>
      </c>
      <c r="M75" s="5">
        <v>0</v>
      </c>
      <c r="N75" s="11">
        <v>1517.6248399487836</v>
      </c>
      <c r="O75" s="13">
        <v>2024</v>
      </c>
    </row>
    <row r="76" spans="1:15" ht="14.5" customHeight="1" x14ac:dyDescent="0.35">
      <c r="A76" s="20" t="s">
        <v>199</v>
      </c>
      <c r="B76" s="15" t="s">
        <v>200</v>
      </c>
      <c r="C76" s="15" t="s">
        <v>3108</v>
      </c>
      <c r="D76" s="16" t="s">
        <v>193</v>
      </c>
      <c r="E76" s="15" t="s">
        <v>186</v>
      </c>
      <c r="F76" s="15" t="s">
        <v>170</v>
      </c>
      <c r="G76" s="17" t="str">
        <f t="shared" si="1"/>
        <v>Small</v>
      </c>
      <c r="H76" s="3">
        <v>1512</v>
      </c>
      <c r="I76" s="4">
        <v>45.7</v>
      </c>
      <c r="J76" s="5">
        <v>74617.670634920636</v>
      </c>
      <c r="K76" s="6">
        <v>7.3639326004012792E-3</v>
      </c>
      <c r="L76" s="5">
        <v>551.92989417989418</v>
      </c>
      <c r="M76" s="5">
        <v>0</v>
      </c>
      <c r="N76" s="11">
        <v>960.61970899470896</v>
      </c>
      <c r="O76" s="13">
        <v>2024</v>
      </c>
    </row>
    <row r="77" spans="1:15" ht="14.5" customHeight="1" x14ac:dyDescent="0.35">
      <c r="A77" s="20" t="s">
        <v>201</v>
      </c>
      <c r="B77" s="15" t="s">
        <v>202</v>
      </c>
      <c r="C77" s="15" t="s">
        <v>3108</v>
      </c>
      <c r="D77" s="16" t="s">
        <v>73</v>
      </c>
      <c r="E77" s="15" t="s">
        <v>169</v>
      </c>
      <c r="F77" s="15" t="s">
        <v>170</v>
      </c>
      <c r="G77" s="17" t="str">
        <f t="shared" si="1"/>
        <v>Small</v>
      </c>
      <c r="H77" s="3">
        <v>2666</v>
      </c>
      <c r="I77" s="4">
        <v>101</v>
      </c>
      <c r="J77" s="5">
        <v>54860.334583645912</v>
      </c>
      <c r="K77" s="6">
        <v>3.6131921494268211E-3</v>
      </c>
      <c r="L77" s="5">
        <v>304.69354838709677</v>
      </c>
      <c r="M77" s="5">
        <v>0</v>
      </c>
      <c r="N77" s="11">
        <v>693.12415603900979</v>
      </c>
      <c r="O77" s="13">
        <v>2024</v>
      </c>
    </row>
    <row r="78" spans="1:15" ht="14.5" customHeight="1" x14ac:dyDescent="0.35">
      <c r="A78" s="20" t="s">
        <v>203</v>
      </c>
      <c r="B78" s="15" t="s">
        <v>204</v>
      </c>
      <c r="C78" s="15" t="s">
        <v>3108</v>
      </c>
      <c r="D78" s="16" t="s">
        <v>26</v>
      </c>
      <c r="E78" s="15" t="s">
        <v>183</v>
      </c>
      <c r="F78" s="15" t="s">
        <v>170</v>
      </c>
      <c r="G78" s="17" t="str">
        <f t="shared" si="1"/>
        <v>Small</v>
      </c>
      <c r="H78" s="3">
        <v>1245</v>
      </c>
      <c r="I78" s="4">
        <v>37.1</v>
      </c>
      <c r="J78" s="5">
        <v>88224.595180722885</v>
      </c>
      <c r="K78" s="6">
        <v>7.3060954024959726E-3</v>
      </c>
      <c r="L78" s="5">
        <v>720.55499598393567</v>
      </c>
      <c r="M78" s="5">
        <v>32.352666666666664</v>
      </c>
      <c r="N78" s="11">
        <v>931.24820883534142</v>
      </c>
      <c r="O78" s="13">
        <v>2024</v>
      </c>
    </row>
    <row r="79" spans="1:15" ht="14.5" customHeight="1" x14ac:dyDescent="0.35">
      <c r="A79" s="20" t="s">
        <v>205</v>
      </c>
      <c r="B79" s="15" t="s">
        <v>206</v>
      </c>
      <c r="C79" s="15" t="s">
        <v>3108</v>
      </c>
      <c r="D79" s="16" t="s">
        <v>9</v>
      </c>
      <c r="E79" s="15" t="s">
        <v>207</v>
      </c>
      <c r="F79" s="15" t="s">
        <v>208</v>
      </c>
      <c r="G79" s="17" t="str">
        <f t="shared" si="1"/>
        <v>Small</v>
      </c>
      <c r="H79" s="3">
        <v>3769</v>
      </c>
      <c r="I79" s="4">
        <v>43.2</v>
      </c>
      <c r="J79" s="5">
        <v>334232.49694879277</v>
      </c>
      <c r="K79" s="6">
        <v>2.0033431479807256E-3</v>
      </c>
      <c r="L79" s="5">
        <v>792.37554789068713</v>
      </c>
      <c r="M79" s="5">
        <v>510.07858052533828</v>
      </c>
      <c r="N79" s="11">
        <v>994.0531520297161</v>
      </c>
      <c r="O79" s="13">
        <v>2024</v>
      </c>
    </row>
    <row r="80" spans="1:15" ht="14.5" customHeight="1" x14ac:dyDescent="0.35">
      <c r="A80" s="20" t="s">
        <v>209</v>
      </c>
      <c r="B80" s="15" t="s">
        <v>210</v>
      </c>
      <c r="C80" s="15" t="s">
        <v>3108</v>
      </c>
      <c r="D80" s="16" t="s">
        <v>13</v>
      </c>
      <c r="E80" s="15" t="s">
        <v>186</v>
      </c>
      <c r="F80" s="15" t="s">
        <v>170</v>
      </c>
      <c r="G80" s="17" t="str">
        <f t="shared" si="1"/>
        <v>Large</v>
      </c>
      <c r="H80" s="3">
        <v>129595</v>
      </c>
      <c r="I80" s="4">
        <v>53.2</v>
      </c>
      <c r="J80" s="5">
        <v>133953.45280296309</v>
      </c>
      <c r="K80" s="6">
        <v>5.9003530289351951E-3</v>
      </c>
      <c r="L80" s="5">
        <v>1005.3342875882557</v>
      </c>
      <c r="M80" s="5">
        <v>1488.7804313438019</v>
      </c>
      <c r="N80" s="11">
        <v>1801.6203325745591</v>
      </c>
      <c r="O80" s="13">
        <v>2024</v>
      </c>
    </row>
    <row r="81" spans="1:15" ht="14.5" customHeight="1" x14ac:dyDescent="0.35">
      <c r="A81" s="20" t="s">
        <v>211</v>
      </c>
      <c r="B81" s="15" t="s">
        <v>212</v>
      </c>
      <c r="C81" s="15" t="s">
        <v>3108</v>
      </c>
      <c r="D81" s="16" t="s">
        <v>193</v>
      </c>
      <c r="E81" s="15" t="s">
        <v>186</v>
      </c>
      <c r="F81" s="15" t="s">
        <v>170</v>
      </c>
      <c r="G81" s="17" t="str">
        <f t="shared" si="1"/>
        <v>Small</v>
      </c>
      <c r="H81" s="3">
        <v>2171</v>
      </c>
      <c r="I81" s="4">
        <v>34.4</v>
      </c>
      <c r="J81" s="5">
        <v>51810.158912943341</v>
      </c>
      <c r="K81" s="6">
        <v>5.1396314477823602E-3</v>
      </c>
      <c r="L81" s="5">
        <v>271.62459695992629</v>
      </c>
      <c r="M81" s="5">
        <v>82.911100875172735</v>
      </c>
      <c r="N81" s="11">
        <v>578.19622293873795</v>
      </c>
      <c r="O81" s="13">
        <v>2024</v>
      </c>
    </row>
    <row r="82" spans="1:15" ht="14.5" customHeight="1" x14ac:dyDescent="0.35">
      <c r="A82" s="20" t="s">
        <v>213</v>
      </c>
      <c r="B82" s="15" t="s">
        <v>98</v>
      </c>
      <c r="C82" s="15" t="s">
        <v>3108</v>
      </c>
      <c r="D82" s="16" t="s">
        <v>3</v>
      </c>
      <c r="E82" s="15" t="s">
        <v>214</v>
      </c>
      <c r="F82" s="15" t="s">
        <v>170</v>
      </c>
      <c r="G82" s="17" t="str">
        <f t="shared" si="1"/>
        <v>Small</v>
      </c>
      <c r="H82" s="3">
        <v>5557</v>
      </c>
      <c r="I82" s="4">
        <v>29.7</v>
      </c>
      <c r="J82" s="5">
        <v>109198.73780816987</v>
      </c>
      <c r="K82" s="6">
        <v>1.8183921974839396E-3</v>
      </c>
      <c r="L82" s="5">
        <v>671.04516825625342</v>
      </c>
      <c r="M82" s="5">
        <v>575.85027892747883</v>
      </c>
      <c r="N82" s="11">
        <v>1201.8252654309879</v>
      </c>
      <c r="O82" s="13">
        <v>2024</v>
      </c>
    </row>
    <row r="83" spans="1:15" ht="14.5" customHeight="1" x14ac:dyDescent="0.35">
      <c r="A83" s="20" t="s">
        <v>215</v>
      </c>
      <c r="B83" s="15" t="s">
        <v>216</v>
      </c>
      <c r="C83" s="15" t="s">
        <v>3108</v>
      </c>
      <c r="D83" s="16" t="s">
        <v>37</v>
      </c>
      <c r="E83" s="15" t="s">
        <v>217</v>
      </c>
      <c r="F83" s="15" t="s">
        <v>170</v>
      </c>
      <c r="G83" s="17" t="str">
        <f t="shared" si="1"/>
        <v>Small</v>
      </c>
      <c r="H83" s="3">
        <v>1440</v>
      </c>
      <c r="I83" s="4">
        <v>42.5</v>
      </c>
      <c r="J83" s="5">
        <v>366613.85416666669</v>
      </c>
      <c r="K83" s="6">
        <v>1.363272115235537E-3</v>
      </c>
      <c r="L83" s="5">
        <v>811.28541666666672</v>
      </c>
      <c r="M83" s="5">
        <v>311.11111111111109</v>
      </c>
      <c r="N83" s="11">
        <v>1500.6451388888888</v>
      </c>
      <c r="O83" s="13">
        <v>2024</v>
      </c>
    </row>
    <row r="84" spans="1:15" ht="14.5" customHeight="1" x14ac:dyDescent="0.35">
      <c r="A84" s="20" t="s">
        <v>218</v>
      </c>
      <c r="B84" s="15" t="s">
        <v>219</v>
      </c>
      <c r="C84" s="15" t="s">
        <v>3108</v>
      </c>
      <c r="D84" s="16" t="s">
        <v>220</v>
      </c>
      <c r="E84" s="15" t="s">
        <v>173</v>
      </c>
      <c r="F84" s="15" t="s">
        <v>170</v>
      </c>
      <c r="G84" s="17" t="str">
        <f t="shared" si="1"/>
        <v>Small</v>
      </c>
      <c r="H84" s="3">
        <v>1114</v>
      </c>
      <c r="I84" s="4">
        <v>108.6</v>
      </c>
      <c r="J84" s="5">
        <v>572353.11490125675</v>
      </c>
      <c r="K84" s="6">
        <v>2.8422065968898404E-3</v>
      </c>
      <c r="L84" s="5">
        <v>1640.5967145421903</v>
      </c>
      <c r="M84" s="5">
        <v>1087.0789946140035</v>
      </c>
      <c r="N84" s="11">
        <v>3012.376274685817</v>
      </c>
      <c r="O84" s="13">
        <v>2024</v>
      </c>
    </row>
    <row r="85" spans="1:15" ht="14.5" customHeight="1" x14ac:dyDescent="0.35">
      <c r="A85" s="20" t="s">
        <v>221</v>
      </c>
      <c r="B85" s="15" t="s">
        <v>222</v>
      </c>
      <c r="C85" s="15" t="s">
        <v>3108</v>
      </c>
      <c r="D85" s="16" t="s">
        <v>193</v>
      </c>
      <c r="E85" s="15" t="s">
        <v>186</v>
      </c>
      <c r="F85" s="15" t="s">
        <v>170</v>
      </c>
      <c r="G85" s="17" t="str">
        <f t="shared" si="1"/>
        <v>Small</v>
      </c>
      <c r="H85" s="3">
        <v>1615</v>
      </c>
      <c r="I85" s="4">
        <v>39.4</v>
      </c>
      <c r="J85" s="5">
        <v>61940.90030959752</v>
      </c>
      <c r="K85" s="6" t="s">
        <v>27</v>
      </c>
      <c r="L85" s="5">
        <v>0</v>
      </c>
      <c r="M85" s="5">
        <v>0</v>
      </c>
      <c r="N85" s="11">
        <v>0</v>
      </c>
      <c r="O85" s="13">
        <v>2024</v>
      </c>
    </row>
    <row r="86" spans="1:15" ht="14.5" customHeight="1" x14ac:dyDescent="0.35">
      <c r="A86" s="20" t="s">
        <v>223</v>
      </c>
      <c r="B86" s="15" t="s">
        <v>224</v>
      </c>
      <c r="C86" s="15" t="s">
        <v>3108</v>
      </c>
      <c r="D86" s="16" t="s">
        <v>193</v>
      </c>
      <c r="E86" s="15" t="s">
        <v>186</v>
      </c>
      <c r="F86" s="15" t="s">
        <v>170</v>
      </c>
      <c r="G86" s="17" t="str">
        <f t="shared" si="1"/>
        <v>Small</v>
      </c>
      <c r="H86" s="3">
        <v>1272</v>
      </c>
      <c r="I86" s="4">
        <v>36.4</v>
      </c>
      <c r="J86" s="5">
        <v>77775.257861635226</v>
      </c>
      <c r="K86" s="6">
        <v>2.6991069899353613E-3</v>
      </c>
      <c r="L86" s="5">
        <v>231.60988993710694</v>
      </c>
      <c r="M86" s="5">
        <v>0</v>
      </c>
      <c r="N86" s="11">
        <v>1291.758215408805</v>
      </c>
      <c r="O86" s="13">
        <v>2024</v>
      </c>
    </row>
    <row r="87" spans="1:15" ht="14.5" customHeight="1" x14ac:dyDescent="0.35">
      <c r="A87" s="20" t="s">
        <v>225</v>
      </c>
      <c r="B87" s="15" t="s">
        <v>226</v>
      </c>
      <c r="C87" s="15" t="s">
        <v>3108</v>
      </c>
      <c r="D87" s="16" t="s">
        <v>81</v>
      </c>
      <c r="E87" s="15" t="s">
        <v>214</v>
      </c>
      <c r="F87" s="15" t="s">
        <v>170</v>
      </c>
      <c r="G87" s="17" t="str">
        <f t="shared" si="1"/>
        <v>Small</v>
      </c>
      <c r="H87" s="3">
        <v>2639</v>
      </c>
      <c r="I87" s="4">
        <v>60.2</v>
      </c>
      <c r="J87" s="5">
        <v>54754.915877226224</v>
      </c>
      <c r="K87" s="6">
        <v>7.8750518613644131E-3</v>
      </c>
      <c r="L87" s="5">
        <v>649.03068207654417</v>
      </c>
      <c r="M87" s="5">
        <v>119.02970822281168</v>
      </c>
      <c r="N87" s="11">
        <v>1261.0757218643425</v>
      </c>
      <c r="O87" s="13">
        <v>2024</v>
      </c>
    </row>
    <row r="88" spans="1:15" ht="14.5" customHeight="1" x14ac:dyDescent="0.35">
      <c r="A88" s="20" t="s">
        <v>227</v>
      </c>
      <c r="B88" s="15" t="s">
        <v>228</v>
      </c>
      <c r="C88" s="15" t="s">
        <v>3108</v>
      </c>
      <c r="D88" s="16" t="s">
        <v>94</v>
      </c>
      <c r="E88" s="15" t="s">
        <v>169</v>
      </c>
      <c r="F88" s="15" t="s">
        <v>170</v>
      </c>
      <c r="G88" s="17" t="str">
        <f t="shared" si="1"/>
        <v>Small</v>
      </c>
      <c r="H88" s="3">
        <v>1683</v>
      </c>
      <c r="I88" s="4">
        <v>106</v>
      </c>
      <c r="J88" s="5">
        <v>75837.497326203214</v>
      </c>
      <c r="K88" s="6">
        <v>5.5592019048641608E-3</v>
      </c>
      <c r="L88" s="5">
        <v>610.86949494949499</v>
      </c>
      <c r="M88" s="5">
        <v>0</v>
      </c>
      <c r="N88" s="11">
        <v>990.86738562091512</v>
      </c>
      <c r="O88" s="13">
        <v>2024</v>
      </c>
    </row>
    <row r="89" spans="1:15" ht="14.5" customHeight="1" x14ac:dyDescent="0.35">
      <c r="A89" s="20" t="s">
        <v>229</v>
      </c>
      <c r="B89" s="15" t="s">
        <v>230</v>
      </c>
      <c r="C89" s="15" t="s">
        <v>3108</v>
      </c>
      <c r="D89" s="16" t="s">
        <v>231</v>
      </c>
      <c r="E89" s="15" t="s">
        <v>178</v>
      </c>
      <c r="F89" s="15" t="s">
        <v>170</v>
      </c>
      <c r="G89" s="17" t="str">
        <f t="shared" si="1"/>
        <v>Small</v>
      </c>
      <c r="H89" s="3">
        <v>4187</v>
      </c>
      <c r="I89" s="4">
        <v>47</v>
      </c>
      <c r="J89" s="5">
        <v>81945.129687126828</v>
      </c>
      <c r="K89" s="6">
        <v>3.1677955742537003E-3</v>
      </c>
      <c r="L89" s="5">
        <v>264.01629328875089</v>
      </c>
      <c r="M89" s="5">
        <v>0</v>
      </c>
      <c r="N89" s="11">
        <v>429.15105087174589</v>
      </c>
      <c r="O89" s="13">
        <v>2024</v>
      </c>
    </row>
    <row r="90" spans="1:15" ht="14.5" customHeight="1" x14ac:dyDescent="0.35">
      <c r="A90" s="20" t="s">
        <v>232</v>
      </c>
      <c r="B90" s="15" t="s">
        <v>233</v>
      </c>
      <c r="C90" s="15" t="s">
        <v>3108</v>
      </c>
      <c r="D90" s="16" t="s">
        <v>234</v>
      </c>
      <c r="E90" s="15" t="s">
        <v>178</v>
      </c>
      <c r="F90" s="15" t="s">
        <v>170</v>
      </c>
      <c r="G90" s="17" t="str">
        <f t="shared" si="1"/>
        <v>Medium</v>
      </c>
      <c r="H90" s="3">
        <v>13731</v>
      </c>
      <c r="I90" s="4">
        <v>52</v>
      </c>
      <c r="J90" s="5">
        <v>61884.365013473165</v>
      </c>
      <c r="K90" s="6">
        <v>3.7308324653835051E-3</v>
      </c>
      <c r="L90" s="5">
        <v>294.9230209016095</v>
      </c>
      <c r="M90" s="5">
        <v>604.90860097589393</v>
      </c>
      <c r="N90" s="11">
        <v>398.93044934819022</v>
      </c>
      <c r="O90" s="13">
        <v>2024</v>
      </c>
    </row>
    <row r="91" spans="1:15" ht="14.5" customHeight="1" x14ac:dyDescent="0.35">
      <c r="A91" s="20" t="s">
        <v>235</v>
      </c>
      <c r="B91" s="15" t="s">
        <v>236</v>
      </c>
      <c r="C91" s="15" t="s">
        <v>3108</v>
      </c>
      <c r="D91" s="16" t="s">
        <v>237</v>
      </c>
      <c r="E91" s="15" t="s">
        <v>217</v>
      </c>
      <c r="F91" s="15" t="s">
        <v>170</v>
      </c>
      <c r="G91" s="17" t="str">
        <f t="shared" si="1"/>
        <v>Small</v>
      </c>
      <c r="H91" s="3">
        <v>3644</v>
      </c>
      <c r="I91" s="4">
        <v>56.5</v>
      </c>
      <c r="J91" s="5">
        <v>110891.24560922064</v>
      </c>
      <c r="K91" s="6">
        <v>4.032604813342759E-3</v>
      </c>
      <c r="L91" s="5">
        <v>484.03873490669594</v>
      </c>
      <c r="M91" s="5">
        <v>13.172338090010976</v>
      </c>
      <c r="N91" s="11">
        <v>745.0298353457739</v>
      </c>
      <c r="O91" s="13">
        <v>2024</v>
      </c>
    </row>
    <row r="92" spans="1:15" ht="14.5" customHeight="1" x14ac:dyDescent="0.35">
      <c r="A92" s="20" t="s">
        <v>238</v>
      </c>
      <c r="B92" s="15" t="s">
        <v>239</v>
      </c>
      <c r="C92" s="15" t="s">
        <v>3108</v>
      </c>
      <c r="D92" s="16" t="s">
        <v>240</v>
      </c>
      <c r="E92" s="15" t="s">
        <v>214</v>
      </c>
      <c r="F92" s="15" t="s">
        <v>170</v>
      </c>
      <c r="G92" s="17" t="str">
        <f t="shared" si="1"/>
        <v>Small</v>
      </c>
      <c r="H92" s="3">
        <v>292</v>
      </c>
      <c r="I92" s="4">
        <v>317.2</v>
      </c>
      <c r="J92" s="5">
        <v>2409731.8493150687</v>
      </c>
      <c r="K92" s="6">
        <v>3.0657890230212335E-3</v>
      </c>
      <c r="L92" s="5">
        <v>7387.7294520547948</v>
      </c>
      <c r="M92" s="5">
        <v>0</v>
      </c>
      <c r="N92" s="11">
        <v>8761.3664383561645</v>
      </c>
      <c r="O92" s="13">
        <v>2024</v>
      </c>
    </row>
    <row r="93" spans="1:15" ht="14.5" customHeight="1" x14ac:dyDescent="0.35">
      <c r="A93" s="20" t="s">
        <v>241</v>
      </c>
      <c r="B93" s="15" t="s">
        <v>242</v>
      </c>
      <c r="C93" s="15" t="s">
        <v>3108</v>
      </c>
      <c r="D93" s="16" t="s">
        <v>22</v>
      </c>
      <c r="E93" s="15" t="s">
        <v>186</v>
      </c>
      <c r="F93" s="15" t="s">
        <v>170</v>
      </c>
      <c r="G93" s="17" t="str">
        <f t="shared" si="1"/>
        <v>Small</v>
      </c>
      <c r="H93" s="3">
        <v>1008</v>
      </c>
      <c r="I93" s="4">
        <v>35.700000000000003</v>
      </c>
      <c r="J93" s="5">
        <v>107333.94345238095</v>
      </c>
      <c r="K93" s="6">
        <v>3.8102230914744042E-3</v>
      </c>
      <c r="L93" s="5">
        <v>767.31547619047615</v>
      </c>
      <c r="M93" s="5">
        <v>0</v>
      </c>
      <c r="N93" s="11">
        <v>2120.7688492063494</v>
      </c>
      <c r="O93" s="13">
        <v>2024</v>
      </c>
    </row>
    <row r="94" spans="1:15" ht="14.5" customHeight="1" x14ac:dyDescent="0.35">
      <c r="A94" s="20" t="s">
        <v>243</v>
      </c>
      <c r="B94" s="15" t="s">
        <v>244</v>
      </c>
      <c r="C94" s="15" t="s">
        <v>3108</v>
      </c>
      <c r="D94" s="16" t="s">
        <v>65</v>
      </c>
      <c r="E94" s="15" t="s">
        <v>186</v>
      </c>
      <c r="F94" s="15" t="s">
        <v>170</v>
      </c>
      <c r="G94" s="17" t="str">
        <f t="shared" si="1"/>
        <v>Small</v>
      </c>
      <c r="H94" s="3">
        <v>1961</v>
      </c>
      <c r="I94" s="4">
        <v>51.7</v>
      </c>
      <c r="J94" s="5">
        <v>101818.81947985722</v>
      </c>
      <c r="K94" s="6">
        <v>2.3131548146697765E-3</v>
      </c>
      <c r="L94" s="5">
        <v>602.57264660887301</v>
      </c>
      <c r="M94" s="5">
        <v>508.76083630800611</v>
      </c>
      <c r="N94" s="11">
        <v>779.66969403365636</v>
      </c>
      <c r="O94" s="13">
        <v>2024</v>
      </c>
    </row>
    <row r="95" spans="1:15" ht="14.5" customHeight="1" x14ac:dyDescent="0.35">
      <c r="A95" s="20" t="s">
        <v>245</v>
      </c>
      <c r="B95" s="15" t="s">
        <v>246</v>
      </c>
      <c r="C95" s="15" t="s">
        <v>3108</v>
      </c>
      <c r="D95" s="16" t="s">
        <v>24</v>
      </c>
      <c r="E95" s="15" t="s">
        <v>173</v>
      </c>
      <c r="F95" s="15" t="s">
        <v>170</v>
      </c>
      <c r="G95" s="17" t="str">
        <f t="shared" si="1"/>
        <v>Small</v>
      </c>
      <c r="H95" s="3">
        <v>1510</v>
      </c>
      <c r="I95" s="4">
        <v>14.2</v>
      </c>
      <c r="J95" s="5">
        <v>58461.583443708609</v>
      </c>
      <c r="K95" s="6">
        <v>4.3076003802621681E-3</v>
      </c>
      <c r="L95" s="5">
        <v>399.02304635761584</v>
      </c>
      <c r="M95" s="5">
        <v>0</v>
      </c>
      <c r="N95" s="11">
        <v>532.92268874172191</v>
      </c>
      <c r="O95" s="13">
        <v>2024</v>
      </c>
    </row>
    <row r="96" spans="1:15" ht="14.5" customHeight="1" x14ac:dyDescent="0.35">
      <c r="A96" s="20" t="s">
        <v>247</v>
      </c>
      <c r="B96" s="15" t="s">
        <v>246</v>
      </c>
      <c r="C96" s="15" t="s">
        <v>3108</v>
      </c>
      <c r="D96" s="16" t="s">
        <v>248</v>
      </c>
      <c r="E96" s="15" t="s">
        <v>217</v>
      </c>
      <c r="F96" s="15" t="s">
        <v>170</v>
      </c>
      <c r="G96" s="17" t="str">
        <f t="shared" si="1"/>
        <v>Small</v>
      </c>
      <c r="H96" s="3">
        <v>682</v>
      </c>
      <c r="I96" s="4">
        <v>26</v>
      </c>
      <c r="J96" s="5">
        <v>381046.86217008799</v>
      </c>
      <c r="K96" s="6">
        <v>3.5282219118837454E-3</v>
      </c>
      <c r="L96" s="5">
        <v>1353.233137829912</v>
      </c>
      <c r="M96" s="5">
        <v>790.32258064516134</v>
      </c>
      <c r="N96" s="11">
        <v>2955.2565982404694</v>
      </c>
      <c r="O96" s="13">
        <v>2024</v>
      </c>
    </row>
    <row r="97" spans="1:15" ht="14.5" customHeight="1" x14ac:dyDescent="0.35">
      <c r="A97" s="20" t="s">
        <v>249</v>
      </c>
      <c r="B97" s="15" t="s">
        <v>250</v>
      </c>
      <c r="C97" s="15" t="s">
        <v>3108</v>
      </c>
      <c r="D97" s="16" t="s">
        <v>248</v>
      </c>
      <c r="E97" s="15" t="s">
        <v>217</v>
      </c>
      <c r="F97" s="15" t="s">
        <v>170</v>
      </c>
      <c r="G97" s="17" t="str">
        <f t="shared" si="1"/>
        <v>Small</v>
      </c>
      <c r="H97" s="3">
        <v>3916</v>
      </c>
      <c r="I97" s="4">
        <v>26.3</v>
      </c>
      <c r="J97" s="5">
        <v>210161.13483146069</v>
      </c>
      <c r="K97" s="6">
        <v>2.3844732086524727E-3</v>
      </c>
      <c r="L97" s="5">
        <v>690.81716036772218</v>
      </c>
      <c r="M97" s="5">
        <v>118.70786516853933</v>
      </c>
      <c r="N97" s="11">
        <v>708.77119509703778</v>
      </c>
    </row>
    <row r="98" spans="1:15" ht="14.5" customHeight="1" x14ac:dyDescent="0.35">
      <c r="A98" s="20" t="s">
        <v>251</v>
      </c>
      <c r="B98" s="15" t="s">
        <v>252</v>
      </c>
      <c r="C98" s="15" t="s">
        <v>3108</v>
      </c>
      <c r="D98" s="16" t="s">
        <v>231</v>
      </c>
      <c r="E98" s="15" t="s">
        <v>178</v>
      </c>
      <c r="F98" s="15" t="s">
        <v>170</v>
      </c>
      <c r="G98" s="17" t="str">
        <f t="shared" si="1"/>
        <v>Small</v>
      </c>
      <c r="H98" s="3">
        <v>5790</v>
      </c>
      <c r="I98" s="4">
        <v>35.700000000000003</v>
      </c>
      <c r="J98" s="5">
        <v>45290.85440414508</v>
      </c>
      <c r="K98" s="6">
        <v>3.3507060202598322E-3</v>
      </c>
      <c r="L98" s="5">
        <v>154.4066804835924</v>
      </c>
      <c r="M98" s="5">
        <v>47.495682210708118</v>
      </c>
      <c r="N98" s="11">
        <v>268.74229360967183</v>
      </c>
      <c r="O98" s="13">
        <v>2024</v>
      </c>
    </row>
    <row r="99" spans="1:15" ht="14.5" customHeight="1" x14ac:dyDescent="0.35">
      <c r="A99" s="20" t="s">
        <v>253</v>
      </c>
      <c r="B99" s="15" t="s">
        <v>254</v>
      </c>
      <c r="C99" s="15" t="s">
        <v>3108</v>
      </c>
      <c r="D99" s="16" t="s">
        <v>81</v>
      </c>
      <c r="E99" s="15" t="s">
        <v>214</v>
      </c>
      <c r="F99" s="15" t="s">
        <v>170</v>
      </c>
      <c r="G99" s="17" t="str">
        <f t="shared" si="1"/>
        <v>Small</v>
      </c>
      <c r="H99" s="3">
        <v>2021</v>
      </c>
      <c r="I99" s="4">
        <v>27.7</v>
      </c>
      <c r="J99" s="5">
        <v>71518.30875804057</v>
      </c>
      <c r="K99" s="6">
        <v>4.3918972537850161E-3</v>
      </c>
      <c r="L99" s="5">
        <v>540.5604057397328</v>
      </c>
      <c r="M99" s="5">
        <v>82.362563087580398</v>
      </c>
      <c r="N99" s="11">
        <v>830.24680356259285</v>
      </c>
      <c r="O99" s="13">
        <v>2024</v>
      </c>
    </row>
    <row r="100" spans="1:15" ht="14.5" customHeight="1" x14ac:dyDescent="0.35">
      <c r="A100" s="20" t="s">
        <v>255</v>
      </c>
      <c r="B100" s="15" t="s">
        <v>256</v>
      </c>
      <c r="C100" s="15" t="s">
        <v>3108</v>
      </c>
      <c r="D100" s="16" t="s">
        <v>5</v>
      </c>
      <c r="E100" s="15" t="s">
        <v>183</v>
      </c>
      <c r="F100" s="15" t="s">
        <v>170</v>
      </c>
      <c r="G100" s="17" t="str">
        <f t="shared" si="1"/>
        <v>Small</v>
      </c>
      <c r="H100" s="3">
        <v>2611</v>
      </c>
      <c r="I100" s="4">
        <v>30.3</v>
      </c>
      <c r="J100" s="5">
        <v>123551.56874760627</v>
      </c>
      <c r="K100" s="6">
        <v>8.3696756533072774E-4</v>
      </c>
      <c r="L100" s="5">
        <v>581.10074301034092</v>
      </c>
      <c r="M100" s="5">
        <v>1771.7885867483724</v>
      </c>
      <c r="N100" s="11">
        <v>1589.5595710455764</v>
      </c>
      <c r="O100" s="13">
        <v>2024</v>
      </c>
    </row>
    <row r="101" spans="1:15" ht="14.5" customHeight="1" x14ac:dyDescent="0.35">
      <c r="A101" s="20" t="s">
        <v>257</v>
      </c>
      <c r="B101" s="15" t="s">
        <v>258</v>
      </c>
      <c r="C101" s="15" t="s">
        <v>3108</v>
      </c>
      <c r="D101" s="16" t="s">
        <v>13</v>
      </c>
      <c r="E101" s="15" t="s">
        <v>186</v>
      </c>
      <c r="F101" s="15" t="s">
        <v>170</v>
      </c>
      <c r="G101" s="17" t="str">
        <f t="shared" si="1"/>
        <v>Medium</v>
      </c>
      <c r="H101" s="3">
        <v>13943</v>
      </c>
      <c r="I101" s="4">
        <v>36.4</v>
      </c>
      <c r="J101" s="5">
        <v>170862.71634511941</v>
      </c>
      <c r="K101" s="6">
        <v>2.6376184854851889E-3</v>
      </c>
      <c r="L101" s="5">
        <v>605.86014487556486</v>
      </c>
      <c r="M101" s="5">
        <v>1365.1312486552392</v>
      </c>
      <c r="N101" s="11">
        <v>734.23072509502981</v>
      </c>
      <c r="O101" s="13">
        <v>2024</v>
      </c>
    </row>
    <row r="102" spans="1:15" ht="14.5" customHeight="1" x14ac:dyDescent="0.35">
      <c r="A102" s="20" t="s">
        <v>259</v>
      </c>
      <c r="B102" s="15" t="s">
        <v>260</v>
      </c>
      <c r="C102" s="15" t="s">
        <v>3108</v>
      </c>
      <c r="D102" s="16" t="s">
        <v>73</v>
      </c>
      <c r="E102" s="15" t="s">
        <v>169</v>
      </c>
      <c r="F102" s="15" t="s">
        <v>170</v>
      </c>
      <c r="G102" s="17" t="str">
        <f t="shared" si="1"/>
        <v>Small</v>
      </c>
      <c r="H102" s="3">
        <v>3183</v>
      </c>
      <c r="I102" s="4">
        <v>39.1</v>
      </c>
      <c r="J102" s="5">
        <v>74851.418787307572</v>
      </c>
      <c r="K102" s="6">
        <v>6.2600338584262267E-3</v>
      </c>
      <c r="L102" s="5">
        <v>521.0980207351555</v>
      </c>
      <c r="M102" s="5">
        <v>1942.0084825636193</v>
      </c>
      <c r="N102" s="11">
        <v>928.79418787307566</v>
      </c>
      <c r="O102" s="13">
        <v>2024</v>
      </c>
    </row>
    <row r="103" spans="1:15" ht="14.5" customHeight="1" x14ac:dyDescent="0.35">
      <c r="A103" s="20" t="s">
        <v>261</v>
      </c>
      <c r="B103" s="15" t="s">
        <v>262</v>
      </c>
      <c r="C103" s="15" t="s">
        <v>3108</v>
      </c>
      <c r="D103" s="16" t="s">
        <v>37</v>
      </c>
      <c r="E103" s="15" t="s">
        <v>217</v>
      </c>
      <c r="F103" s="15" t="s">
        <v>170</v>
      </c>
      <c r="G103" s="17" t="str">
        <f t="shared" si="1"/>
        <v>Small</v>
      </c>
      <c r="H103" s="3">
        <v>1625</v>
      </c>
      <c r="I103" s="4">
        <v>48.7</v>
      </c>
      <c r="J103" s="5">
        <v>423071.41600000003</v>
      </c>
      <c r="K103" s="6">
        <v>1.0208511063222552E-3</v>
      </c>
      <c r="L103" s="5">
        <v>736.14153846153852</v>
      </c>
      <c r="M103" s="5">
        <v>470.15384615384613</v>
      </c>
      <c r="N103" s="11">
        <v>1251.9163076923078</v>
      </c>
      <c r="O103" s="13">
        <v>2024</v>
      </c>
    </row>
    <row r="104" spans="1:15" ht="14.5" customHeight="1" x14ac:dyDescent="0.35">
      <c r="A104" s="20" t="s">
        <v>263</v>
      </c>
      <c r="B104" s="15" t="s">
        <v>264</v>
      </c>
      <c r="C104" s="15" t="s">
        <v>3108</v>
      </c>
      <c r="D104" s="16" t="s">
        <v>81</v>
      </c>
      <c r="E104" s="15" t="s">
        <v>214</v>
      </c>
      <c r="F104" s="15" t="s">
        <v>170</v>
      </c>
      <c r="G104" s="17" t="str">
        <f t="shared" si="1"/>
        <v>Small</v>
      </c>
      <c r="H104" s="3">
        <v>680</v>
      </c>
      <c r="I104" s="4">
        <v>37.700000000000003</v>
      </c>
      <c r="J104" s="5">
        <v>74316.983823529416</v>
      </c>
      <c r="K104" s="6">
        <v>6.9485739632510967E-4</v>
      </c>
      <c r="L104" s="5">
        <v>331.25354411764704</v>
      </c>
      <c r="M104" s="5">
        <v>0</v>
      </c>
      <c r="N104" s="11">
        <v>1269.162</v>
      </c>
      <c r="O104" s="13">
        <v>2024</v>
      </c>
    </row>
    <row r="105" spans="1:15" ht="14.5" customHeight="1" x14ac:dyDescent="0.35">
      <c r="A105" s="20" t="s">
        <v>265</v>
      </c>
      <c r="B105" s="15" t="s">
        <v>266</v>
      </c>
      <c r="C105" s="15" t="s">
        <v>3108</v>
      </c>
      <c r="D105" s="16" t="s">
        <v>18</v>
      </c>
      <c r="E105" s="15" t="s">
        <v>173</v>
      </c>
      <c r="F105" s="15" t="s">
        <v>170</v>
      </c>
      <c r="G105" s="17" t="str">
        <f t="shared" si="1"/>
        <v>Small</v>
      </c>
      <c r="H105" s="3">
        <v>1990</v>
      </c>
      <c r="I105" s="4">
        <v>36.299999999999997</v>
      </c>
      <c r="J105" s="5">
        <v>65970.729145728648</v>
      </c>
      <c r="K105" s="6">
        <v>5.7070917647952446E-3</v>
      </c>
      <c r="L105" s="5">
        <v>540.42891959798999</v>
      </c>
      <c r="M105" s="5">
        <v>117.58793969849246</v>
      </c>
      <c r="N105" s="11">
        <v>766.89613567839194</v>
      </c>
      <c r="O105" s="13">
        <v>2024</v>
      </c>
    </row>
    <row r="106" spans="1:15" ht="14.5" customHeight="1" x14ac:dyDescent="0.35">
      <c r="A106" s="20" t="s">
        <v>267</v>
      </c>
      <c r="B106" s="15" t="s">
        <v>268</v>
      </c>
      <c r="C106" s="15" t="s">
        <v>3108</v>
      </c>
      <c r="D106" s="16" t="s">
        <v>269</v>
      </c>
      <c r="E106" s="15" t="s">
        <v>178</v>
      </c>
      <c r="F106" s="15" t="s">
        <v>170</v>
      </c>
      <c r="G106" s="17" t="str">
        <f t="shared" si="1"/>
        <v>Small</v>
      </c>
      <c r="H106" s="3">
        <v>6939</v>
      </c>
      <c r="I106" s="4">
        <v>41.2</v>
      </c>
      <c r="J106" s="5">
        <v>78843.377143680642</v>
      </c>
      <c r="K106" s="6">
        <v>2.5493562448589981E-3</v>
      </c>
      <c r="L106" s="5">
        <v>223.68381611183167</v>
      </c>
      <c r="M106" s="5">
        <v>132.68006917423259</v>
      </c>
      <c r="N106" s="11">
        <v>480.00043233895371</v>
      </c>
      <c r="O106" s="13">
        <v>2024</v>
      </c>
    </row>
    <row r="107" spans="1:15" ht="14.5" customHeight="1" x14ac:dyDescent="0.35">
      <c r="A107" s="20" t="s">
        <v>270</v>
      </c>
      <c r="B107" s="15" t="s">
        <v>271</v>
      </c>
      <c r="C107" s="15" t="s">
        <v>3108</v>
      </c>
      <c r="D107" s="16" t="s">
        <v>272</v>
      </c>
      <c r="E107" s="15" t="s">
        <v>273</v>
      </c>
      <c r="F107" s="15" t="s">
        <v>208</v>
      </c>
      <c r="G107" s="17" t="str">
        <f t="shared" si="1"/>
        <v>Large</v>
      </c>
      <c r="H107" s="3">
        <v>218223</v>
      </c>
      <c r="I107" s="4">
        <v>52.3</v>
      </c>
      <c r="J107" s="5">
        <v>173346.31004981144</v>
      </c>
      <c r="K107" s="6">
        <v>3.3994115710091494E-3</v>
      </c>
      <c r="L107" s="5">
        <v>668.39305540662542</v>
      </c>
      <c r="M107" s="5">
        <v>776.29764048702475</v>
      </c>
      <c r="N107" s="11">
        <v>1027.3674965975172</v>
      </c>
      <c r="O107" s="13">
        <v>2024</v>
      </c>
    </row>
    <row r="108" spans="1:15" ht="14.5" customHeight="1" x14ac:dyDescent="0.35">
      <c r="A108" s="20" t="s">
        <v>274</v>
      </c>
      <c r="B108" s="15" t="s">
        <v>275</v>
      </c>
      <c r="C108" s="15" t="s">
        <v>3108</v>
      </c>
      <c r="D108" s="16" t="s">
        <v>61</v>
      </c>
      <c r="E108" s="15" t="s">
        <v>173</v>
      </c>
      <c r="F108" s="15" t="s">
        <v>170</v>
      </c>
      <c r="G108" s="17" t="str">
        <f t="shared" si="1"/>
        <v>Small</v>
      </c>
      <c r="H108" s="3">
        <v>3060</v>
      </c>
      <c r="I108" s="4">
        <v>34.299999999999997</v>
      </c>
      <c r="J108" s="5">
        <v>70235.446405228751</v>
      </c>
      <c r="K108" s="6">
        <v>2.9019618820294202E-3</v>
      </c>
      <c r="L108" s="5">
        <v>328.00423202614377</v>
      </c>
      <c r="M108" s="5">
        <v>47.745098039215684</v>
      </c>
      <c r="N108" s="11">
        <v>435.19090196078429</v>
      </c>
      <c r="O108" s="13">
        <v>2024</v>
      </c>
    </row>
    <row r="109" spans="1:15" ht="14.5" customHeight="1" x14ac:dyDescent="0.35">
      <c r="A109" s="20" t="s">
        <v>276</v>
      </c>
      <c r="B109" s="15" t="s">
        <v>277</v>
      </c>
      <c r="C109" s="15" t="s">
        <v>3108</v>
      </c>
      <c r="D109" s="16" t="s">
        <v>24</v>
      </c>
      <c r="E109" s="15" t="s">
        <v>173</v>
      </c>
      <c r="F109" s="15" t="s">
        <v>170</v>
      </c>
      <c r="G109" s="17" t="str">
        <f t="shared" si="1"/>
        <v>Small</v>
      </c>
      <c r="H109" s="3">
        <v>812</v>
      </c>
      <c r="I109" s="4">
        <v>25.7</v>
      </c>
      <c r="J109" s="5">
        <v>74260.129310344826</v>
      </c>
      <c r="K109" s="6" t="s">
        <v>27</v>
      </c>
      <c r="L109" s="5">
        <v>0</v>
      </c>
      <c r="M109" s="5">
        <v>0</v>
      </c>
      <c r="N109" s="11">
        <v>0</v>
      </c>
      <c r="O109" s="13">
        <v>2024</v>
      </c>
    </row>
    <row r="110" spans="1:15" ht="14.5" customHeight="1" x14ac:dyDescent="0.35">
      <c r="A110" s="20" t="s">
        <v>278</v>
      </c>
      <c r="B110" s="15" t="s">
        <v>279</v>
      </c>
      <c r="C110" s="15" t="s">
        <v>3108</v>
      </c>
      <c r="D110" s="16" t="s">
        <v>51</v>
      </c>
      <c r="E110" s="15" t="s">
        <v>217</v>
      </c>
      <c r="F110" s="15" t="s">
        <v>170</v>
      </c>
      <c r="G110" s="17" t="str">
        <f t="shared" si="1"/>
        <v>Medium</v>
      </c>
      <c r="H110" s="3">
        <v>11831</v>
      </c>
      <c r="I110" s="4">
        <v>29.6</v>
      </c>
      <c r="J110" s="5">
        <v>154773.91420843545</v>
      </c>
      <c r="K110" s="6">
        <v>1.0984210860958128E-3</v>
      </c>
      <c r="L110" s="5">
        <v>584.03330234130669</v>
      </c>
      <c r="M110" s="5">
        <v>1280.3079198715241</v>
      </c>
      <c r="N110" s="11">
        <v>789.36564956470295</v>
      </c>
      <c r="O110" s="13">
        <v>2024</v>
      </c>
    </row>
    <row r="111" spans="1:15" ht="14.5" customHeight="1" x14ac:dyDescent="0.35">
      <c r="A111" s="20" t="s">
        <v>280</v>
      </c>
      <c r="B111" s="15" t="s">
        <v>281</v>
      </c>
      <c r="C111" s="15" t="s">
        <v>3108</v>
      </c>
      <c r="D111" s="16" t="s">
        <v>282</v>
      </c>
      <c r="E111" s="15" t="s">
        <v>169</v>
      </c>
      <c r="F111" s="15" t="s">
        <v>170</v>
      </c>
      <c r="G111" s="17" t="str">
        <f t="shared" si="1"/>
        <v>Small</v>
      </c>
      <c r="H111" s="3">
        <v>2231</v>
      </c>
      <c r="I111" s="4">
        <v>43.1</v>
      </c>
      <c r="J111" s="5">
        <v>54831.718063648586</v>
      </c>
      <c r="K111" s="6">
        <v>6.4365062760830764E-3</v>
      </c>
      <c r="L111" s="5">
        <v>377.42536978933214</v>
      </c>
      <c r="M111" s="5">
        <v>250.97176154190944</v>
      </c>
      <c r="N111" s="11">
        <v>751.25862841774983</v>
      </c>
      <c r="O111" s="13">
        <v>2024</v>
      </c>
    </row>
    <row r="112" spans="1:15" ht="14.5" customHeight="1" x14ac:dyDescent="0.35">
      <c r="A112" s="20" t="s">
        <v>283</v>
      </c>
      <c r="B112" s="15" t="s">
        <v>284</v>
      </c>
      <c r="C112" s="15" t="s">
        <v>3108</v>
      </c>
      <c r="D112" s="16" t="s">
        <v>11</v>
      </c>
      <c r="E112" s="15" t="s">
        <v>173</v>
      </c>
      <c r="F112" s="15" t="s">
        <v>170</v>
      </c>
      <c r="G112" s="17" t="str">
        <f t="shared" si="1"/>
        <v>Small</v>
      </c>
      <c r="H112" s="3">
        <v>2509</v>
      </c>
      <c r="I112" s="4">
        <v>41.4</v>
      </c>
      <c r="J112" s="5">
        <v>74085.658031088082</v>
      </c>
      <c r="K112" s="6">
        <v>1.921142996734533E-3</v>
      </c>
      <c r="L112" s="5">
        <v>503.39891988840174</v>
      </c>
      <c r="M112" s="5">
        <v>0</v>
      </c>
      <c r="N112" s="11">
        <v>768.01648864089282</v>
      </c>
      <c r="O112" s="13">
        <v>2024</v>
      </c>
    </row>
    <row r="113" spans="1:15" ht="14.5" customHeight="1" x14ac:dyDescent="0.35">
      <c r="A113" s="20" t="s">
        <v>285</v>
      </c>
      <c r="B113" s="15" t="s">
        <v>286</v>
      </c>
      <c r="C113" s="15" t="s">
        <v>3108</v>
      </c>
      <c r="D113" s="16" t="s">
        <v>181</v>
      </c>
      <c r="E113" s="15" t="s">
        <v>178</v>
      </c>
      <c r="F113" s="15" t="s">
        <v>170</v>
      </c>
      <c r="G113" s="17" t="str">
        <f t="shared" si="1"/>
        <v>Small</v>
      </c>
      <c r="H113" s="3">
        <v>1843</v>
      </c>
      <c r="I113" s="4">
        <v>55</v>
      </c>
      <c r="J113" s="5">
        <v>70888.379272924576</v>
      </c>
      <c r="K113" s="6">
        <v>9.4321364494047693E-3</v>
      </c>
      <c r="L113" s="5">
        <v>720.95116657623441</v>
      </c>
      <c r="M113" s="5">
        <v>1914.8128052088985</v>
      </c>
      <c r="N113" s="11">
        <v>1376.4226804123712</v>
      </c>
      <c r="O113" s="13">
        <v>2024</v>
      </c>
    </row>
    <row r="114" spans="1:15" ht="14.5" customHeight="1" x14ac:dyDescent="0.35">
      <c r="A114" s="20" t="s">
        <v>287</v>
      </c>
      <c r="B114" s="15" t="s">
        <v>288</v>
      </c>
      <c r="C114" s="15" t="s">
        <v>3108</v>
      </c>
      <c r="D114" s="16" t="s">
        <v>289</v>
      </c>
      <c r="E114" s="15" t="s">
        <v>178</v>
      </c>
      <c r="F114" s="15" t="s">
        <v>170</v>
      </c>
      <c r="G114" s="17" t="str">
        <f t="shared" si="1"/>
        <v>Small</v>
      </c>
      <c r="H114" s="3">
        <v>1541</v>
      </c>
      <c r="I114" s="4">
        <v>35.799999999999997</v>
      </c>
      <c r="J114" s="5">
        <v>241068.22323166774</v>
      </c>
      <c r="K114" s="6">
        <v>3.4530441098673372E-3</v>
      </c>
      <c r="L114" s="5">
        <v>902.21739130434787</v>
      </c>
      <c r="M114" s="5">
        <v>0</v>
      </c>
      <c r="N114" s="11">
        <v>1205.7573004542505</v>
      </c>
      <c r="O114" s="13">
        <v>2024</v>
      </c>
    </row>
    <row r="115" spans="1:15" ht="14.5" customHeight="1" x14ac:dyDescent="0.35">
      <c r="A115" s="20" t="s">
        <v>290</v>
      </c>
      <c r="B115" s="15" t="s">
        <v>291</v>
      </c>
      <c r="C115" s="15" t="s">
        <v>3108</v>
      </c>
      <c r="D115" s="16" t="s">
        <v>292</v>
      </c>
      <c r="E115" s="15" t="s">
        <v>173</v>
      </c>
      <c r="F115" s="15" t="s">
        <v>170</v>
      </c>
      <c r="G115" s="17" t="str">
        <f t="shared" si="1"/>
        <v>Small</v>
      </c>
      <c r="H115" s="3">
        <v>8609</v>
      </c>
      <c r="I115" s="4">
        <v>59.3</v>
      </c>
      <c r="J115" s="5">
        <v>66617.507027529326</v>
      </c>
      <c r="K115" s="6">
        <v>1.7468343426854766E-3</v>
      </c>
      <c r="L115" s="5">
        <v>228.94230456499014</v>
      </c>
      <c r="M115" s="5">
        <v>56.279010338018352</v>
      </c>
      <c r="N115" s="11">
        <v>368.0951016378209</v>
      </c>
      <c r="O115" s="13">
        <v>2024</v>
      </c>
    </row>
    <row r="116" spans="1:15" ht="14.5" customHeight="1" x14ac:dyDescent="0.35">
      <c r="A116" s="20" t="s">
        <v>293</v>
      </c>
      <c r="B116" s="15" t="s">
        <v>100</v>
      </c>
      <c r="C116" s="15" t="s">
        <v>3108</v>
      </c>
      <c r="D116" s="16" t="s">
        <v>7</v>
      </c>
      <c r="E116" s="15" t="s">
        <v>178</v>
      </c>
      <c r="F116" s="15" t="s">
        <v>170</v>
      </c>
      <c r="G116" s="17" t="str">
        <f t="shared" si="1"/>
        <v>Small</v>
      </c>
      <c r="H116" s="3">
        <v>6293</v>
      </c>
      <c r="I116" s="4">
        <v>48.2</v>
      </c>
      <c r="J116" s="5">
        <v>94323.892261242654</v>
      </c>
      <c r="K116" s="6">
        <v>5.0760886665209047E-3</v>
      </c>
      <c r="L116" s="5">
        <v>794.13125695216911</v>
      </c>
      <c r="M116" s="5">
        <v>2191.7034800572064</v>
      </c>
      <c r="N116" s="11">
        <v>3133.0773875734944</v>
      </c>
      <c r="O116" s="13">
        <v>2024</v>
      </c>
    </row>
    <row r="117" spans="1:15" ht="14.5" customHeight="1" x14ac:dyDescent="0.35">
      <c r="A117" s="20" t="s">
        <v>294</v>
      </c>
      <c r="B117" s="15" t="s">
        <v>295</v>
      </c>
      <c r="C117" s="15" t="s">
        <v>3108</v>
      </c>
      <c r="D117" s="16" t="s">
        <v>18</v>
      </c>
      <c r="E117" s="15" t="s">
        <v>173</v>
      </c>
      <c r="F117" s="15" t="s">
        <v>170</v>
      </c>
      <c r="G117" s="17" t="str">
        <f t="shared" si="1"/>
        <v>Medium</v>
      </c>
      <c r="H117" s="3">
        <v>11424</v>
      </c>
      <c r="I117" s="4">
        <v>95.3</v>
      </c>
      <c r="J117" s="5">
        <v>60383.783963585433</v>
      </c>
      <c r="K117" s="6">
        <v>3.1760812826513922E-3</v>
      </c>
      <c r="L117" s="5">
        <v>320.2633534663866</v>
      </c>
      <c r="M117" s="5">
        <v>48.14425770308123</v>
      </c>
      <c r="N117" s="11">
        <v>406.76913340336137</v>
      </c>
      <c r="O117" s="13">
        <v>2024</v>
      </c>
    </row>
    <row r="118" spans="1:15" ht="14.5" customHeight="1" x14ac:dyDescent="0.35">
      <c r="A118" s="20" t="s">
        <v>296</v>
      </c>
      <c r="B118" s="15" t="s">
        <v>297</v>
      </c>
      <c r="C118" s="15" t="s">
        <v>3108</v>
      </c>
      <c r="D118" s="16" t="s">
        <v>55</v>
      </c>
      <c r="E118" s="15" t="s">
        <v>207</v>
      </c>
      <c r="F118" s="15" t="s">
        <v>208</v>
      </c>
      <c r="G118" s="17" t="str">
        <f t="shared" si="1"/>
        <v>Medium</v>
      </c>
      <c r="H118" s="3">
        <v>17309</v>
      </c>
      <c r="I118" s="4">
        <v>37.200000000000003</v>
      </c>
      <c r="J118" s="5">
        <v>408562.76081807155</v>
      </c>
      <c r="K118" s="6">
        <v>4.0451343523659694E-3</v>
      </c>
      <c r="L118" s="5">
        <v>1984.6166734068981</v>
      </c>
      <c r="M118" s="5">
        <v>2473.5684903807269</v>
      </c>
      <c r="N118" s="11">
        <v>3638.1996649142066</v>
      </c>
      <c r="O118" s="13">
        <v>2024</v>
      </c>
    </row>
    <row r="119" spans="1:15" ht="14.5" customHeight="1" x14ac:dyDescent="0.35">
      <c r="A119" s="20" t="s">
        <v>298</v>
      </c>
      <c r="B119" s="15" t="s">
        <v>299</v>
      </c>
      <c r="C119" s="15" t="s">
        <v>3108</v>
      </c>
      <c r="D119" s="16" t="s">
        <v>9</v>
      </c>
      <c r="E119" s="15" t="s">
        <v>207</v>
      </c>
      <c r="F119" s="15" t="s">
        <v>208</v>
      </c>
      <c r="G119" s="17" t="str">
        <f t="shared" si="1"/>
        <v>Medium</v>
      </c>
      <c r="H119" s="3">
        <v>14172</v>
      </c>
      <c r="I119" s="4">
        <v>29.8</v>
      </c>
      <c r="J119" s="5">
        <v>134245.10182049111</v>
      </c>
      <c r="K119" s="6">
        <v>1.3441997309525397E-3</v>
      </c>
      <c r="L119" s="5">
        <v>298.25134067174713</v>
      </c>
      <c r="M119" s="5">
        <v>159.43607112616428</v>
      </c>
      <c r="N119" s="11">
        <v>376.30454417160598</v>
      </c>
      <c r="O119" s="13">
        <v>2024</v>
      </c>
    </row>
    <row r="120" spans="1:15" ht="14.5" customHeight="1" x14ac:dyDescent="0.35">
      <c r="A120" s="20" t="s">
        <v>300</v>
      </c>
      <c r="B120" s="15" t="s">
        <v>301</v>
      </c>
      <c r="C120" s="15" t="s">
        <v>3108</v>
      </c>
      <c r="D120" s="16" t="s">
        <v>73</v>
      </c>
      <c r="E120" s="15" t="s">
        <v>169</v>
      </c>
      <c r="F120" s="15" t="s">
        <v>170</v>
      </c>
      <c r="G120" s="17" t="str">
        <f t="shared" si="1"/>
        <v>Small</v>
      </c>
      <c r="H120" s="3">
        <v>5508</v>
      </c>
      <c r="I120" s="4">
        <v>60.4</v>
      </c>
      <c r="J120" s="5">
        <v>99792.432461873643</v>
      </c>
      <c r="K120" s="6">
        <v>3.7760662828831282E-3</v>
      </c>
      <c r="L120" s="5">
        <v>487.34154320987648</v>
      </c>
      <c r="M120" s="5">
        <v>509.46677559912854</v>
      </c>
      <c r="N120" s="11">
        <v>590.61737472766879</v>
      </c>
      <c r="O120" s="13">
        <v>2024</v>
      </c>
    </row>
    <row r="121" spans="1:15" ht="14.5" customHeight="1" x14ac:dyDescent="0.35">
      <c r="A121" s="20" t="s">
        <v>302</v>
      </c>
      <c r="B121" s="15" t="s">
        <v>303</v>
      </c>
      <c r="C121" s="15" t="s">
        <v>3108</v>
      </c>
      <c r="D121" s="16" t="s">
        <v>193</v>
      </c>
      <c r="E121" s="15" t="s">
        <v>186</v>
      </c>
      <c r="F121" s="15" t="s">
        <v>170</v>
      </c>
      <c r="G121" s="17" t="str">
        <f t="shared" si="1"/>
        <v>Small</v>
      </c>
      <c r="H121" s="3">
        <v>1637</v>
      </c>
      <c r="I121" s="4">
        <v>36.299999999999997</v>
      </c>
      <c r="J121" s="5">
        <v>59395.948075748318</v>
      </c>
      <c r="K121" s="6">
        <v>1.0204413159002812E-2</v>
      </c>
      <c r="L121" s="5">
        <v>611.84056200366524</v>
      </c>
      <c r="M121" s="5">
        <v>884.44227244960291</v>
      </c>
      <c r="N121" s="11">
        <v>1151.588882101405</v>
      </c>
      <c r="O121" s="13">
        <v>2024</v>
      </c>
    </row>
    <row r="122" spans="1:15" ht="14.5" customHeight="1" x14ac:dyDescent="0.35">
      <c r="A122" s="20" t="s">
        <v>304</v>
      </c>
      <c r="B122" s="15" t="s">
        <v>305</v>
      </c>
      <c r="C122" s="15" t="s">
        <v>3108</v>
      </c>
      <c r="D122" s="16" t="s">
        <v>282</v>
      </c>
      <c r="E122" s="15" t="s">
        <v>169</v>
      </c>
      <c r="F122" s="15" t="s">
        <v>170</v>
      </c>
      <c r="G122" s="17" t="str">
        <f t="shared" si="1"/>
        <v>Small</v>
      </c>
      <c r="H122" s="3">
        <v>1327</v>
      </c>
      <c r="I122" s="4">
        <v>164.1</v>
      </c>
      <c r="J122" s="5">
        <v>169509.37151469479</v>
      </c>
      <c r="K122" s="6">
        <v>5.5772914298838861E-3</v>
      </c>
      <c r="L122" s="5">
        <v>959.29540316503392</v>
      </c>
      <c r="M122" s="5">
        <v>2199.0475960813865</v>
      </c>
      <c r="N122" s="11">
        <v>2917.6593820648077</v>
      </c>
      <c r="O122" s="13">
        <v>2024</v>
      </c>
    </row>
    <row r="123" spans="1:15" ht="14.5" customHeight="1" x14ac:dyDescent="0.35">
      <c r="A123" s="20" t="s">
        <v>306</v>
      </c>
      <c r="B123" s="15" t="s">
        <v>307</v>
      </c>
      <c r="C123" s="15" t="s">
        <v>3108</v>
      </c>
      <c r="D123" s="16" t="s">
        <v>231</v>
      </c>
      <c r="E123" s="15" t="s">
        <v>178</v>
      </c>
      <c r="F123" s="15" t="s">
        <v>170</v>
      </c>
      <c r="G123" s="17" t="str">
        <f t="shared" si="1"/>
        <v>Small</v>
      </c>
      <c r="H123" s="3">
        <v>3235</v>
      </c>
      <c r="I123" s="4">
        <v>55.1</v>
      </c>
      <c r="J123" s="5">
        <v>125478.68748068006</v>
      </c>
      <c r="K123" s="6">
        <v>3.6754040885245108E-3</v>
      </c>
      <c r="L123" s="5">
        <v>480.16124574961361</v>
      </c>
      <c r="M123" s="5">
        <v>214.83771251931995</v>
      </c>
      <c r="N123" s="11">
        <v>833.16563523956722</v>
      </c>
      <c r="O123" s="13">
        <v>2024</v>
      </c>
    </row>
    <row r="124" spans="1:15" ht="14.5" customHeight="1" x14ac:dyDescent="0.35">
      <c r="A124" s="20" t="s">
        <v>308</v>
      </c>
      <c r="B124" s="15" t="s">
        <v>309</v>
      </c>
      <c r="C124" s="15" t="s">
        <v>3108</v>
      </c>
      <c r="D124" s="16" t="s">
        <v>240</v>
      </c>
      <c r="E124" s="15" t="s">
        <v>214</v>
      </c>
      <c r="F124" s="15" t="s">
        <v>170</v>
      </c>
      <c r="G124" s="17" t="str">
        <f t="shared" si="1"/>
        <v>Small</v>
      </c>
      <c r="H124" s="3">
        <v>221</v>
      </c>
      <c r="I124" s="4">
        <v>82.6</v>
      </c>
      <c r="J124" s="5">
        <v>730726.89592760184</v>
      </c>
      <c r="K124" s="6">
        <v>3.2642819852771164E-3</v>
      </c>
      <c r="L124" s="5">
        <v>2386.4924886877825</v>
      </c>
      <c r="M124" s="5">
        <v>203.61990950226243</v>
      </c>
      <c r="N124" s="11">
        <v>2992.6029411764707</v>
      </c>
      <c r="O124" s="13">
        <v>2024</v>
      </c>
    </row>
    <row r="125" spans="1:15" ht="14.5" customHeight="1" x14ac:dyDescent="0.35">
      <c r="A125" s="20" t="s">
        <v>310</v>
      </c>
      <c r="B125" s="15" t="s">
        <v>311</v>
      </c>
      <c r="C125" s="15" t="s">
        <v>3108</v>
      </c>
      <c r="D125" s="16" t="s">
        <v>289</v>
      </c>
      <c r="E125" s="15" t="s">
        <v>178</v>
      </c>
      <c r="F125" s="15" t="s">
        <v>170</v>
      </c>
      <c r="G125" s="17" t="str">
        <f t="shared" si="1"/>
        <v>Small</v>
      </c>
      <c r="H125" s="3">
        <v>2985</v>
      </c>
      <c r="I125" s="4">
        <v>41.5</v>
      </c>
      <c r="J125" s="5">
        <v>96467.278056951429</v>
      </c>
      <c r="K125" s="6">
        <v>4.0329312071780707E-3</v>
      </c>
      <c r="L125" s="5">
        <v>474.8775611390285</v>
      </c>
      <c r="M125" s="5">
        <v>589.27936348408707</v>
      </c>
      <c r="N125" s="11">
        <v>714.17067671691802</v>
      </c>
      <c r="O125" s="13">
        <v>2024</v>
      </c>
    </row>
    <row r="126" spans="1:15" ht="14.5" customHeight="1" x14ac:dyDescent="0.35">
      <c r="A126" s="20" t="s">
        <v>312</v>
      </c>
      <c r="B126" s="15" t="s">
        <v>313</v>
      </c>
      <c r="C126" s="15" t="s">
        <v>3108</v>
      </c>
      <c r="D126" s="16" t="s">
        <v>7</v>
      </c>
      <c r="E126" s="15" t="s">
        <v>178</v>
      </c>
      <c r="F126" s="15" t="s">
        <v>170</v>
      </c>
      <c r="G126" s="17" t="str">
        <f t="shared" si="1"/>
        <v>Small</v>
      </c>
      <c r="H126" s="3">
        <v>3120</v>
      </c>
      <c r="I126" s="4">
        <v>27.6</v>
      </c>
      <c r="J126" s="5">
        <v>67650.192628205128</v>
      </c>
      <c r="K126" s="6">
        <v>5.1770372041268229E-3</v>
      </c>
      <c r="L126" s="5">
        <v>511.59551282051279</v>
      </c>
      <c r="M126" s="5">
        <v>2312.5</v>
      </c>
      <c r="N126" s="11">
        <v>676.88942307692309</v>
      </c>
      <c r="O126" s="13">
        <v>2024</v>
      </c>
    </row>
    <row r="127" spans="1:15" ht="14.5" customHeight="1" x14ac:dyDescent="0.35">
      <c r="A127" s="20" t="s">
        <v>314</v>
      </c>
      <c r="B127" s="15" t="s">
        <v>315</v>
      </c>
      <c r="C127" s="15" t="s">
        <v>3108</v>
      </c>
      <c r="D127" s="16" t="s">
        <v>292</v>
      </c>
      <c r="E127" s="15" t="s">
        <v>173</v>
      </c>
      <c r="F127" s="15" t="s">
        <v>170</v>
      </c>
      <c r="G127" s="17" t="str">
        <f t="shared" si="1"/>
        <v>Small</v>
      </c>
      <c r="H127" s="3">
        <v>1480</v>
      </c>
      <c r="I127" s="4">
        <v>30.2</v>
      </c>
      <c r="J127" s="5">
        <v>65765.87770270271</v>
      </c>
      <c r="K127" s="6" t="s">
        <v>27</v>
      </c>
      <c r="L127" s="5">
        <v>0</v>
      </c>
      <c r="M127" s="5">
        <v>0</v>
      </c>
      <c r="N127" s="11">
        <v>0</v>
      </c>
      <c r="O127" s="13">
        <v>2024</v>
      </c>
    </row>
    <row r="128" spans="1:15" ht="14.5" customHeight="1" x14ac:dyDescent="0.35">
      <c r="A128" s="20" t="s">
        <v>316</v>
      </c>
      <c r="B128" s="15" t="s">
        <v>317</v>
      </c>
      <c r="C128" s="15" t="s">
        <v>3108</v>
      </c>
      <c r="D128" s="16" t="s">
        <v>77</v>
      </c>
      <c r="E128" s="15" t="s">
        <v>217</v>
      </c>
      <c r="F128" s="15" t="s">
        <v>170</v>
      </c>
      <c r="G128" s="17" t="str">
        <f t="shared" ref="G128:G191" si="2">IF(H128&lt;=10000,"Small",(IF(H128&lt;=100000,"Medium",IF(H128&gt;100000,"Large"))))</f>
        <v>Small</v>
      </c>
      <c r="H128" s="3">
        <v>1808</v>
      </c>
      <c r="I128" s="4">
        <v>59.6</v>
      </c>
      <c r="J128" s="5">
        <v>113326.34402654867</v>
      </c>
      <c r="K128" s="6">
        <v>5.206071645913744E-3</v>
      </c>
      <c r="L128" s="5">
        <v>745.23974557522138</v>
      </c>
      <c r="M128" s="5">
        <v>589.56028761061953</v>
      </c>
      <c r="N128" s="11">
        <v>2164.1690873893804</v>
      </c>
      <c r="O128" s="13">
        <v>2024</v>
      </c>
    </row>
    <row r="129" spans="1:15" ht="14.5" customHeight="1" x14ac:dyDescent="0.35">
      <c r="A129" s="20" t="s">
        <v>318</v>
      </c>
      <c r="B129" s="15" t="s">
        <v>319</v>
      </c>
      <c r="C129" s="15" t="s">
        <v>3108</v>
      </c>
      <c r="D129" s="16" t="s">
        <v>1</v>
      </c>
      <c r="E129" s="15" t="s">
        <v>217</v>
      </c>
      <c r="F129" s="15" t="s">
        <v>170</v>
      </c>
      <c r="G129" s="17" t="str">
        <f t="shared" si="2"/>
        <v>Small</v>
      </c>
      <c r="H129" s="3">
        <v>2689</v>
      </c>
      <c r="I129" s="4">
        <v>64</v>
      </c>
      <c r="J129" s="5">
        <v>149743.60245444404</v>
      </c>
      <c r="K129" s="6">
        <v>1.9818849051531236E-3</v>
      </c>
      <c r="L129" s="5">
        <v>801.95775009297142</v>
      </c>
      <c r="M129" s="5">
        <v>294.00706582372629</v>
      </c>
      <c r="N129" s="11">
        <v>1080.5087876534028</v>
      </c>
      <c r="O129" s="13">
        <v>2024</v>
      </c>
    </row>
    <row r="130" spans="1:15" ht="14.5" customHeight="1" x14ac:dyDescent="0.35">
      <c r="A130" s="20" t="s">
        <v>320</v>
      </c>
      <c r="B130" s="15" t="s">
        <v>321</v>
      </c>
      <c r="C130" s="15" t="s">
        <v>3108</v>
      </c>
      <c r="D130" s="16" t="s">
        <v>7</v>
      </c>
      <c r="E130" s="15" t="s">
        <v>178</v>
      </c>
      <c r="F130" s="15" t="s">
        <v>170</v>
      </c>
      <c r="G130" s="17" t="str">
        <f t="shared" si="2"/>
        <v>Small</v>
      </c>
      <c r="H130" s="3">
        <v>1780</v>
      </c>
      <c r="I130" s="4">
        <v>36</v>
      </c>
      <c r="J130" s="5">
        <v>75493.741573033709</v>
      </c>
      <c r="K130" s="6">
        <v>4.6957906920776079E-3</v>
      </c>
      <c r="L130" s="5">
        <v>591.3662921348315</v>
      </c>
      <c r="M130" s="5">
        <v>636.51685393258424</v>
      </c>
      <c r="N130" s="11">
        <v>944.85505617977526</v>
      </c>
      <c r="O130" s="13">
        <v>2024</v>
      </c>
    </row>
    <row r="131" spans="1:15" ht="14.5" customHeight="1" x14ac:dyDescent="0.35">
      <c r="A131" s="20" t="s">
        <v>322</v>
      </c>
      <c r="B131" s="15" t="s">
        <v>323</v>
      </c>
      <c r="C131" s="15" t="s">
        <v>3108</v>
      </c>
      <c r="D131" s="16" t="s">
        <v>324</v>
      </c>
      <c r="E131" s="15" t="s">
        <v>207</v>
      </c>
      <c r="F131" s="15" t="s">
        <v>208</v>
      </c>
      <c r="G131" s="17" t="str">
        <f t="shared" si="2"/>
        <v>Small</v>
      </c>
      <c r="H131" s="3">
        <v>3959</v>
      </c>
      <c r="I131" s="4">
        <v>85.3</v>
      </c>
      <c r="J131" s="5">
        <v>325113.5551907047</v>
      </c>
      <c r="K131" s="6">
        <v>3.9761924674322413E-3</v>
      </c>
      <c r="L131" s="5">
        <v>1336.4536499115939</v>
      </c>
      <c r="M131" s="5">
        <v>1479.3104319272543</v>
      </c>
      <c r="N131" s="11">
        <v>2008.9067946451123</v>
      </c>
      <c r="O131" s="13">
        <v>2024</v>
      </c>
    </row>
    <row r="132" spans="1:15" ht="14.5" customHeight="1" x14ac:dyDescent="0.35">
      <c r="A132" s="20" t="s">
        <v>325</v>
      </c>
      <c r="B132" s="15" t="s">
        <v>326</v>
      </c>
      <c r="C132" s="15" t="s">
        <v>3108</v>
      </c>
      <c r="D132" s="16" t="s">
        <v>1</v>
      </c>
      <c r="E132" s="15" t="s">
        <v>217</v>
      </c>
      <c r="F132" s="15" t="s">
        <v>170</v>
      </c>
      <c r="G132" s="17" t="str">
        <f t="shared" si="2"/>
        <v>Medium</v>
      </c>
      <c r="H132" s="3">
        <v>35034</v>
      </c>
      <c r="I132" s="4">
        <v>49</v>
      </c>
      <c r="J132" s="5">
        <v>149152.38222869212</v>
      </c>
      <c r="K132" s="6">
        <v>3.1782538198684954E-3</v>
      </c>
      <c r="L132" s="5">
        <v>972.4673174630359</v>
      </c>
      <c r="M132" s="5">
        <v>1099.9314951190272</v>
      </c>
      <c r="N132" s="11">
        <v>1573.6926985214363</v>
      </c>
      <c r="O132" s="13">
        <v>2024</v>
      </c>
    </row>
    <row r="133" spans="1:15" ht="14.5" customHeight="1" x14ac:dyDescent="0.35">
      <c r="A133" s="20" t="s">
        <v>327</v>
      </c>
      <c r="B133" s="15" t="s">
        <v>328</v>
      </c>
      <c r="C133" s="15" t="s">
        <v>3108</v>
      </c>
      <c r="D133" s="16" t="s">
        <v>24</v>
      </c>
      <c r="E133" s="15" t="s">
        <v>173</v>
      </c>
      <c r="F133" s="15" t="s">
        <v>170</v>
      </c>
      <c r="G133" s="17" t="str">
        <f t="shared" si="2"/>
        <v>Small</v>
      </c>
      <c r="H133" s="3">
        <v>7791</v>
      </c>
      <c r="I133" s="4">
        <v>44.5</v>
      </c>
      <c r="J133" s="5">
        <v>125961.67385444744</v>
      </c>
      <c r="K133" s="6">
        <v>2.340527102958049E-3</v>
      </c>
      <c r="L133" s="5">
        <v>555.50898857656273</v>
      </c>
      <c r="M133" s="5">
        <v>71.877807726864333</v>
      </c>
      <c r="N133" s="11">
        <v>741.63819407008089</v>
      </c>
      <c r="O133" s="13">
        <v>2024</v>
      </c>
    </row>
    <row r="134" spans="1:15" ht="14.5" customHeight="1" x14ac:dyDescent="0.35">
      <c r="A134" s="20" t="s">
        <v>329</v>
      </c>
      <c r="B134" s="15" t="s">
        <v>102</v>
      </c>
      <c r="C134" s="15" t="s">
        <v>3108</v>
      </c>
      <c r="D134" s="16" t="s">
        <v>11</v>
      </c>
      <c r="E134" s="15" t="s">
        <v>173</v>
      </c>
      <c r="F134" s="15" t="s">
        <v>170</v>
      </c>
      <c r="G134" s="17" t="str">
        <f t="shared" si="2"/>
        <v>Small</v>
      </c>
      <c r="H134" s="3">
        <v>4617</v>
      </c>
      <c r="I134" s="4">
        <v>25.3</v>
      </c>
      <c r="J134" s="5">
        <v>84163.860515486245</v>
      </c>
      <c r="K134" s="6">
        <v>3.6253350313387657E-3</v>
      </c>
      <c r="L134" s="5">
        <v>673.18591726229147</v>
      </c>
      <c r="M134" s="5">
        <v>228.09981156595194</v>
      </c>
      <c r="N134" s="11">
        <v>877.60630062811344</v>
      </c>
      <c r="O134" s="13">
        <v>2024</v>
      </c>
    </row>
    <row r="135" spans="1:15" ht="14.5" customHeight="1" x14ac:dyDescent="0.35">
      <c r="A135" s="20" t="s">
        <v>330</v>
      </c>
      <c r="B135" s="15" t="s">
        <v>331</v>
      </c>
      <c r="C135" s="15" t="s">
        <v>3108</v>
      </c>
      <c r="D135" s="16" t="s">
        <v>193</v>
      </c>
      <c r="E135" s="15" t="s">
        <v>186</v>
      </c>
      <c r="F135" s="15" t="s">
        <v>170</v>
      </c>
      <c r="G135" s="17" t="str">
        <f t="shared" si="2"/>
        <v>Small</v>
      </c>
      <c r="H135" s="3">
        <v>190</v>
      </c>
      <c r="I135" s="4">
        <v>35.9</v>
      </c>
      <c r="J135" s="5">
        <v>219451.31052631579</v>
      </c>
      <c r="K135" s="6">
        <v>5.6791400965119972E-3</v>
      </c>
      <c r="L135" s="5">
        <v>1250.5368421052631</v>
      </c>
      <c r="M135" s="5">
        <v>0</v>
      </c>
      <c r="N135" s="11">
        <v>2748.6947368421052</v>
      </c>
      <c r="O135" s="13">
        <v>2024</v>
      </c>
    </row>
    <row r="136" spans="1:15" ht="14.5" customHeight="1" x14ac:dyDescent="0.35">
      <c r="A136" s="20" t="s">
        <v>332</v>
      </c>
      <c r="B136" s="15" t="s">
        <v>333</v>
      </c>
      <c r="C136" s="15" t="s">
        <v>3108</v>
      </c>
      <c r="D136" s="16" t="s">
        <v>73</v>
      </c>
      <c r="E136" s="15" t="s">
        <v>169</v>
      </c>
      <c r="F136" s="15" t="s">
        <v>170</v>
      </c>
      <c r="G136" s="17" t="str">
        <f t="shared" si="2"/>
        <v>Small</v>
      </c>
      <c r="H136" s="3">
        <v>1453</v>
      </c>
      <c r="I136" s="4">
        <v>130</v>
      </c>
      <c r="J136" s="5">
        <v>151014.99380591878</v>
      </c>
      <c r="K136" s="6">
        <v>6.9384190717633881E-3</v>
      </c>
      <c r="L136" s="5">
        <v>1236.1047556779079</v>
      </c>
      <c r="M136" s="5">
        <v>391.60357880247761</v>
      </c>
      <c r="N136" s="11">
        <v>1795.8801858224365</v>
      </c>
      <c r="O136" s="13">
        <v>2024</v>
      </c>
    </row>
    <row r="137" spans="1:15" ht="14.5" customHeight="1" x14ac:dyDescent="0.35">
      <c r="A137" s="20" t="s">
        <v>334</v>
      </c>
      <c r="B137" s="15" t="s">
        <v>335</v>
      </c>
      <c r="C137" s="15" t="s">
        <v>3108</v>
      </c>
      <c r="D137" s="16" t="s">
        <v>34</v>
      </c>
      <c r="E137" s="15" t="s">
        <v>214</v>
      </c>
      <c r="F137" s="15" t="s">
        <v>170</v>
      </c>
      <c r="G137" s="17" t="str">
        <f t="shared" si="2"/>
        <v>Small</v>
      </c>
      <c r="H137" s="3">
        <v>545</v>
      </c>
      <c r="I137" s="4">
        <v>57.1</v>
      </c>
      <c r="J137" s="5">
        <v>255599.0642201835</v>
      </c>
      <c r="K137" s="6">
        <v>3.835665146151703E-3</v>
      </c>
      <c r="L137" s="5">
        <v>1610.9629357798167</v>
      </c>
      <c r="M137" s="5">
        <v>0</v>
      </c>
      <c r="N137" s="11">
        <v>1913.2231743119266</v>
      </c>
      <c r="O137" s="13">
        <v>2024</v>
      </c>
    </row>
    <row r="138" spans="1:15" ht="14.5" customHeight="1" x14ac:dyDescent="0.35">
      <c r="A138" s="20" t="s">
        <v>336</v>
      </c>
      <c r="B138" s="15" t="s">
        <v>337</v>
      </c>
      <c r="C138" s="15" t="s">
        <v>3108</v>
      </c>
      <c r="D138" s="16" t="s">
        <v>338</v>
      </c>
      <c r="E138" s="15" t="s">
        <v>214</v>
      </c>
      <c r="F138" s="15" t="s">
        <v>170</v>
      </c>
      <c r="G138" s="17" t="str">
        <f t="shared" si="2"/>
        <v>Small</v>
      </c>
      <c r="H138" s="3">
        <v>308</v>
      </c>
      <c r="I138" s="4">
        <v>33.9</v>
      </c>
      <c r="J138" s="5">
        <v>229057.03571428571</v>
      </c>
      <c r="K138" s="6">
        <v>3.7262028837115328E-3</v>
      </c>
      <c r="L138" s="5">
        <v>1089.2962987012988</v>
      </c>
      <c r="M138" s="5">
        <v>339.61097402597403</v>
      </c>
      <c r="N138" s="11">
        <v>2470.7271428571426</v>
      </c>
      <c r="O138" s="13">
        <v>2024</v>
      </c>
    </row>
    <row r="139" spans="1:15" ht="14.5" customHeight="1" x14ac:dyDescent="0.35">
      <c r="A139" s="20" t="s">
        <v>339</v>
      </c>
      <c r="B139" s="15" t="s">
        <v>340</v>
      </c>
      <c r="C139" s="15" t="s">
        <v>3108</v>
      </c>
      <c r="D139" s="16" t="s">
        <v>53</v>
      </c>
      <c r="E139" s="15" t="s">
        <v>207</v>
      </c>
      <c r="F139" s="15" t="s">
        <v>208</v>
      </c>
      <c r="G139" s="17" t="str">
        <f t="shared" si="2"/>
        <v>Medium</v>
      </c>
      <c r="H139" s="3">
        <v>18811</v>
      </c>
      <c r="I139" s="4">
        <v>34.700000000000003</v>
      </c>
      <c r="J139" s="5">
        <v>150038.65408537557</v>
      </c>
      <c r="K139" s="6">
        <v>4.771281830139495E-3</v>
      </c>
      <c r="L139" s="5">
        <v>836.3192153527192</v>
      </c>
      <c r="M139" s="5">
        <v>183.88108021902079</v>
      </c>
      <c r="N139" s="11">
        <v>1038.658741162086</v>
      </c>
      <c r="O139" s="13">
        <v>2024</v>
      </c>
    </row>
    <row r="140" spans="1:15" ht="14.5" customHeight="1" x14ac:dyDescent="0.35">
      <c r="A140" s="20" t="s">
        <v>341</v>
      </c>
      <c r="B140" s="15" t="s">
        <v>342</v>
      </c>
      <c r="C140" s="15" t="s">
        <v>3108</v>
      </c>
      <c r="D140" s="16" t="s">
        <v>193</v>
      </c>
      <c r="E140" s="15" t="s">
        <v>186</v>
      </c>
      <c r="F140" s="15" t="s">
        <v>170</v>
      </c>
      <c r="G140" s="17" t="str">
        <f t="shared" si="2"/>
        <v>Small</v>
      </c>
      <c r="H140" s="3">
        <v>2029</v>
      </c>
      <c r="I140" s="4">
        <v>35.9</v>
      </c>
      <c r="J140" s="5">
        <v>53087.572695909315</v>
      </c>
      <c r="K140" s="6">
        <v>5.8117145308460025E-3</v>
      </c>
      <c r="L140" s="5">
        <v>310.96205027106947</v>
      </c>
      <c r="M140" s="5">
        <v>98.184327254805325</v>
      </c>
      <c r="N140" s="11">
        <v>432.55150320354852</v>
      </c>
      <c r="O140" s="13">
        <v>2024</v>
      </c>
    </row>
    <row r="141" spans="1:15" ht="14.5" customHeight="1" x14ac:dyDescent="0.35">
      <c r="A141" s="20" t="s">
        <v>343</v>
      </c>
      <c r="B141" s="15" t="s">
        <v>344</v>
      </c>
      <c r="C141" s="15" t="s">
        <v>3108</v>
      </c>
      <c r="D141" s="16" t="s">
        <v>32</v>
      </c>
      <c r="E141" s="15" t="s">
        <v>217</v>
      </c>
      <c r="F141" s="15" t="s">
        <v>170</v>
      </c>
      <c r="G141" s="17" t="str">
        <f t="shared" si="2"/>
        <v>Small</v>
      </c>
      <c r="H141" s="3">
        <v>2012</v>
      </c>
      <c r="I141" s="4">
        <v>63.3</v>
      </c>
      <c r="J141" s="5">
        <v>1278239.6466202782</v>
      </c>
      <c r="K141" s="6">
        <v>3.325845467265614E-4</v>
      </c>
      <c r="L141" s="5">
        <v>3773.8689463220676</v>
      </c>
      <c r="M141" s="5">
        <v>22.219905566600396</v>
      </c>
      <c r="N141" s="11">
        <v>4578.2611978131208</v>
      </c>
      <c r="O141" s="13">
        <v>2024</v>
      </c>
    </row>
    <row r="142" spans="1:15" ht="14.5" customHeight="1" x14ac:dyDescent="0.35">
      <c r="A142" s="20" t="s">
        <v>345</v>
      </c>
      <c r="B142" s="15" t="s">
        <v>346</v>
      </c>
      <c r="C142" s="15" t="s">
        <v>3108</v>
      </c>
      <c r="D142" s="16" t="s">
        <v>282</v>
      </c>
      <c r="E142" s="15" t="s">
        <v>169</v>
      </c>
      <c r="F142" s="15" t="s">
        <v>170</v>
      </c>
      <c r="G142" s="17" t="str">
        <f t="shared" si="2"/>
        <v>Small</v>
      </c>
      <c r="H142" s="3">
        <v>1254</v>
      </c>
      <c r="I142" s="4">
        <v>35.700000000000003</v>
      </c>
      <c r="J142" s="5">
        <v>81309.672248803821</v>
      </c>
      <c r="K142" s="6">
        <v>3.5381204366173313E-3</v>
      </c>
      <c r="L142" s="5">
        <v>287.6834130781499</v>
      </c>
      <c r="M142" s="5">
        <v>0</v>
      </c>
      <c r="N142" s="11">
        <v>917.11909888357263</v>
      </c>
      <c r="O142" s="13">
        <v>2024</v>
      </c>
    </row>
    <row r="143" spans="1:15" ht="14.5" customHeight="1" x14ac:dyDescent="0.35">
      <c r="A143" s="20" t="s">
        <v>347</v>
      </c>
      <c r="B143" s="15" t="s">
        <v>348</v>
      </c>
      <c r="C143" s="15" t="s">
        <v>3108</v>
      </c>
      <c r="D143" s="16" t="s">
        <v>81</v>
      </c>
      <c r="E143" s="15" t="s">
        <v>214</v>
      </c>
      <c r="F143" s="15" t="s">
        <v>170</v>
      </c>
      <c r="G143" s="17" t="str">
        <f t="shared" si="2"/>
        <v>Small</v>
      </c>
      <c r="H143" s="3">
        <v>4518</v>
      </c>
      <c r="I143" s="4">
        <v>71.900000000000006</v>
      </c>
      <c r="J143" s="5">
        <v>92403.508189464366</v>
      </c>
      <c r="K143" s="6">
        <v>8.8387592143845299E-4</v>
      </c>
      <c r="L143" s="5">
        <v>340.65311642319614</v>
      </c>
      <c r="M143" s="5">
        <v>3.312306330234617</v>
      </c>
      <c r="N143" s="11">
        <v>377.11454183266932</v>
      </c>
      <c r="O143" s="13">
        <v>2024</v>
      </c>
    </row>
    <row r="144" spans="1:15" ht="14.5" customHeight="1" x14ac:dyDescent="0.35">
      <c r="A144" s="20" t="s">
        <v>349</v>
      </c>
      <c r="B144" s="15" t="s">
        <v>350</v>
      </c>
      <c r="C144" s="15" t="s">
        <v>3108</v>
      </c>
      <c r="D144" s="16" t="s">
        <v>13</v>
      </c>
      <c r="E144" s="15" t="s">
        <v>186</v>
      </c>
      <c r="F144" s="15" t="s">
        <v>170</v>
      </c>
      <c r="G144" s="17" t="str">
        <f t="shared" si="2"/>
        <v>Small</v>
      </c>
      <c r="H144" s="3">
        <v>7948</v>
      </c>
      <c r="I144" s="4">
        <v>35.799999999999997</v>
      </c>
      <c r="J144" s="5">
        <v>125474.60631605436</v>
      </c>
      <c r="K144" s="6">
        <v>3.3543019621671563E-3</v>
      </c>
      <c r="L144" s="5">
        <v>614.93042274786114</v>
      </c>
      <c r="M144" s="5">
        <v>983.56819325616505</v>
      </c>
      <c r="N144" s="11">
        <v>857.75641670860591</v>
      </c>
      <c r="O144" s="13">
        <v>2024</v>
      </c>
    </row>
    <row r="145" spans="1:15" ht="14.5" customHeight="1" x14ac:dyDescent="0.35">
      <c r="A145" s="20" t="s">
        <v>351</v>
      </c>
      <c r="B145" s="15" t="s">
        <v>352</v>
      </c>
      <c r="C145" s="15" t="s">
        <v>3108</v>
      </c>
      <c r="D145" s="16" t="s">
        <v>220</v>
      </c>
      <c r="E145" s="15" t="s">
        <v>173</v>
      </c>
      <c r="F145" s="15" t="s">
        <v>170</v>
      </c>
      <c r="G145" s="17" t="str">
        <f t="shared" si="2"/>
        <v>Small</v>
      </c>
      <c r="H145" s="3">
        <v>658</v>
      </c>
      <c r="I145" s="4">
        <v>44.3</v>
      </c>
      <c r="J145" s="5">
        <v>396102.42553191487</v>
      </c>
      <c r="K145" s="6">
        <v>3.0817993730981957E-3</v>
      </c>
      <c r="L145" s="5">
        <v>1227.6754711246201</v>
      </c>
      <c r="M145" s="5">
        <v>0</v>
      </c>
      <c r="N145" s="11">
        <v>1812.3449848024316</v>
      </c>
      <c r="O145" s="13">
        <v>2024</v>
      </c>
    </row>
    <row r="146" spans="1:15" ht="14.5" customHeight="1" x14ac:dyDescent="0.35">
      <c r="A146" s="20" t="s">
        <v>353</v>
      </c>
      <c r="B146" s="15" t="s">
        <v>354</v>
      </c>
      <c r="C146" s="15" t="s">
        <v>3108</v>
      </c>
      <c r="D146" s="16" t="s">
        <v>26</v>
      </c>
      <c r="E146" s="15" t="s">
        <v>183</v>
      </c>
      <c r="F146" s="15" t="s">
        <v>170</v>
      </c>
      <c r="G146" s="17" t="str">
        <f t="shared" si="2"/>
        <v>Small</v>
      </c>
      <c r="H146" s="3">
        <v>498</v>
      </c>
      <c r="I146" s="4">
        <v>39.200000000000003</v>
      </c>
      <c r="J146" s="5">
        <v>143059.8734939759</v>
      </c>
      <c r="K146" s="6">
        <v>6.5112609000160682E-3</v>
      </c>
      <c r="L146" s="5">
        <v>1009.8492771084337</v>
      </c>
      <c r="M146" s="5">
        <v>0</v>
      </c>
      <c r="N146" s="11">
        <v>1791.9757831325301</v>
      </c>
      <c r="O146" s="13">
        <v>2024</v>
      </c>
    </row>
    <row r="147" spans="1:15" ht="14.5" customHeight="1" x14ac:dyDescent="0.35">
      <c r="A147" s="20" t="s">
        <v>355</v>
      </c>
      <c r="B147" s="15" t="s">
        <v>356</v>
      </c>
      <c r="C147" s="15" t="s">
        <v>3108</v>
      </c>
      <c r="D147" s="16" t="s">
        <v>18</v>
      </c>
      <c r="E147" s="15" t="s">
        <v>173</v>
      </c>
      <c r="F147" s="15" t="s">
        <v>170</v>
      </c>
      <c r="G147" s="17" t="str">
        <f t="shared" si="2"/>
        <v>Small</v>
      </c>
      <c r="H147" s="3">
        <v>806</v>
      </c>
      <c r="I147" s="4">
        <v>25.1</v>
      </c>
      <c r="J147" s="5">
        <v>77146.653846153844</v>
      </c>
      <c r="K147" s="6" t="s">
        <v>27</v>
      </c>
      <c r="L147" s="5">
        <v>0</v>
      </c>
      <c r="M147" s="5">
        <v>0</v>
      </c>
      <c r="N147" s="11">
        <v>0</v>
      </c>
      <c r="O147" s="13">
        <v>2024</v>
      </c>
    </row>
    <row r="148" spans="1:15" ht="14.5" customHeight="1" x14ac:dyDescent="0.35">
      <c r="A148" s="20" t="s">
        <v>357</v>
      </c>
      <c r="B148" s="15" t="s">
        <v>358</v>
      </c>
      <c r="C148" s="15" t="s">
        <v>3108</v>
      </c>
      <c r="D148" s="16" t="s">
        <v>282</v>
      </c>
      <c r="E148" s="15" t="s">
        <v>169</v>
      </c>
      <c r="F148" s="15" t="s">
        <v>170</v>
      </c>
      <c r="G148" s="17" t="str">
        <f t="shared" si="2"/>
        <v>Small</v>
      </c>
      <c r="H148" s="3">
        <v>628</v>
      </c>
      <c r="I148" s="4">
        <v>41.3</v>
      </c>
      <c r="J148" s="5">
        <v>72911.347133757969</v>
      </c>
      <c r="K148" s="6">
        <v>5.9842764288871352E-3</v>
      </c>
      <c r="L148" s="5">
        <v>437.79299363057322</v>
      </c>
      <c r="M148" s="5">
        <v>0</v>
      </c>
      <c r="N148" s="11">
        <v>837.6305732484077</v>
      </c>
      <c r="O148" s="13">
        <v>2024</v>
      </c>
    </row>
    <row r="149" spans="1:15" ht="14.5" customHeight="1" x14ac:dyDescent="0.35">
      <c r="A149" s="20" t="s">
        <v>359</v>
      </c>
      <c r="B149" s="15" t="s">
        <v>360</v>
      </c>
      <c r="C149" s="15" t="s">
        <v>3108</v>
      </c>
      <c r="D149" s="16" t="s">
        <v>13</v>
      </c>
      <c r="E149" s="15" t="s">
        <v>186</v>
      </c>
      <c r="F149" s="15" t="s">
        <v>170</v>
      </c>
      <c r="G149" s="17" t="str">
        <f t="shared" si="2"/>
        <v>Small</v>
      </c>
      <c r="H149" s="3">
        <v>1912</v>
      </c>
      <c r="I149" s="4">
        <v>24.3</v>
      </c>
      <c r="J149" s="5">
        <v>108936.23849372385</v>
      </c>
      <c r="K149" s="6" t="s">
        <v>27</v>
      </c>
      <c r="L149" s="5">
        <v>0</v>
      </c>
      <c r="M149" s="5">
        <v>0</v>
      </c>
      <c r="N149" s="11">
        <v>0</v>
      </c>
      <c r="O149" s="13">
        <v>2024</v>
      </c>
    </row>
    <row r="150" spans="1:15" ht="14.5" customHeight="1" x14ac:dyDescent="0.35">
      <c r="A150" s="20" t="s">
        <v>361</v>
      </c>
      <c r="B150" s="15" t="s">
        <v>362</v>
      </c>
      <c r="C150" s="15" t="s">
        <v>3108</v>
      </c>
      <c r="D150" s="16" t="s">
        <v>63</v>
      </c>
      <c r="E150" s="15" t="s">
        <v>169</v>
      </c>
      <c r="F150" s="15" t="s">
        <v>170</v>
      </c>
      <c r="G150" s="17" t="str">
        <f t="shared" si="2"/>
        <v>Small</v>
      </c>
      <c r="H150" s="3">
        <v>2627</v>
      </c>
      <c r="I150" s="4">
        <v>91.1</v>
      </c>
      <c r="J150" s="5">
        <v>58174.884278644844</v>
      </c>
      <c r="K150" s="6">
        <v>4.275420906578101E-3</v>
      </c>
      <c r="L150" s="5">
        <v>510.91480395888846</v>
      </c>
      <c r="M150" s="5">
        <v>433.55728968405026</v>
      </c>
      <c r="N150" s="11">
        <v>1133.8668937952036</v>
      </c>
      <c r="O150" s="13">
        <v>2024</v>
      </c>
    </row>
    <row r="151" spans="1:15" ht="14.5" customHeight="1" x14ac:dyDescent="0.35">
      <c r="A151" s="20" t="s">
        <v>363</v>
      </c>
      <c r="B151" s="15" t="s">
        <v>364</v>
      </c>
      <c r="C151" s="15" t="s">
        <v>3108</v>
      </c>
      <c r="D151" s="16" t="s">
        <v>81</v>
      </c>
      <c r="E151" s="15" t="s">
        <v>214</v>
      </c>
      <c r="F151" s="15" t="s">
        <v>170</v>
      </c>
      <c r="G151" s="17" t="str">
        <f t="shared" si="2"/>
        <v>Small</v>
      </c>
      <c r="H151" s="3">
        <v>1507</v>
      </c>
      <c r="I151" s="4">
        <v>23.8</v>
      </c>
      <c r="J151" s="5">
        <v>54269.42534837425</v>
      </c>
      <c r="K151" s="6">
        <v>6.4818389224770854E-3</v>
      </c>
      <c r="L151" s="5">
        <v>576.37030524220313</v>
      </c>
      <c r="M151" s="5">
        <v>559.63901791639023</v>
      </c>
      <c r="N151" s="11">
        <v>954.58751824817512</v>
      </c>
      <c r="O151" s="13">
        <v>2024</v>
      </c>
    </row>
    <row r="152" spans="1:15" ht="14.5" customHeight="1" x14ac:dyDescent="0.35">
      <c r="A152" s="20" t="s">
        <v>365</v>
      </c>
      <c r="B152" s="15" t="s">
        <v>366</v>
      </c>
      <c r="C152" s="15" t="s">
        <v>3108</v>
      </c>
      <c r="D152" s="16" t="s">
        <v>282</v>
      </c>
      <c r="E152" s="15" t="s">
        <v>169</v>
      </c>
      <c r="F152" s="15" t="s">
        <v>170</v>
      </c>
      <c r="G152" s="17" t="str">
        <f t="shared" si="2"/>
        <v>Small</v>
      </c>
      <c r="H152" s="3">
        <v>1174</v>
      </c>
      <c r="I152" s="4">
        <v>77.900000000000006</v>
      </c>
      <c r="J152" s="5">
        <v>315419.65502555366</v>
      </c>
      <c r="K152" s="6">
        <v>1.9901719586551733E-3</v>
      </c>
      <c r="L152" s="5">
        <v>629.57495741056221</v>
      </c>
      <c r="M152" s="5">
        <v>37.9045996592845</v>
      </c>
      <c r="N152" s="11">
        <v>948.79386712095402</v>
      </c>
      <c r="O152" s="13">
        <v>2024</v>
      </c>
    </row>
    <row r="153" spans="1:15" ht="14.5" customHeight="1" x14ac:dyDescent="0.35">
      <c r="A153" s="20" t="s">
        <v>367</v>
      </c>
      <c r="B153" s="15" t="s">
        <v>366</v>
      </c>
      <c r="C153" s="15" t="s">
        <v>3108</v>
      </c>
      <c r="D153" s="16" t="s">
        <v>79</v>
      </c>
      <c r="E153" s="15" t="s">
        <v>178</v>
      </c>
      <c r="F153" s="15" t="s">
        <v>170</v>
      </c>
      <c r="G153" s="17" t="str">
        <f t="shared" si="2"/>
        <v>Medium</v>
      </c>
      <c r="H153" s="3">
        <v>37137</v>
      </c>
      <c r="I153" s="4">
        <v>15.4</v>
      </c>
      <c r="J153" s="5">
        <v>117231.08048576891</v>
      </c>
      <c r="K153" s="6">
        <v>3.9669521332913243E-3</v>
      </c>
      <c r="L153" s="5">
        <v>792.30877561461614</v>
      </c>
      <c r="M153" s="5">
        <v>196.76355117537764</v>
      </c>
      <c r="N153" s="11">
        <v>1010.0057085925088</v>
      </c>
      <c r="O153" s="13">
        <v>2024</v>
      </c>
    </row>
    <row r="154" spans="1:15" ht="14.5" customHeight="1" x14ac:dyDescent="0.35">
      <c r="A154" s="20" t="s">
        <v>368</v>
      </c>
      <c r="B154" s="15" t="s">
        <v>369</v>
      </c>
      <c r="C154" s="15" t="s">
        <v>3108</v>
      </c>
      <c r="D154" s="16" t="s">
        <v>15</v>
      </c>
      <c r="E154" s="15" t="s">
        <v>178</v>
      </c>
      <c r="F154" s="15" t="s">
        <v>170</v>
      </c>
      <c r="G154" s="17" t="str">
        <f t="shared" si="2"/>
        <v>Small</v>
      </c>
      <c r="H154" s="3">
        <v>2284</v>
      </c>
      <c r="I154" s="4">
        <v>36.700000000000003</v>
      </c>
      <c r="J154" s="5">
        <v>124037.02451838879</v>
      </c>
      <c r="K154" s="6">
        <v>3.5672255138891992E-3</v>
      </c>
      <c r="L154" s="5">
        <v>927.67250437828375</v>
      </c>
      <c r="M154" s="5">
        <v>222.41681260945708</v>
      </c>
      <c r="N154" s="11">
        <v>1461.3143607705779</v>
      </c>
      <c r="O154" s="13">
        <v>2024</v>
      </c>
    </row>
    <row r="155" spans="1:15" ht="14.5" customHeight="1" x14ac:dyDescent="0.35">
      <c r="A155" s="20" t="s">
        <v>370</v>
      </c>
      <c r="B155" s="15" t="s">
        <v>371</v>
      </c>
      <c r="C155" s="15" t="s">
        <v>3108</v>
      </c>
      <c r="D155" s="16" t="s">
        <v>34</v>
      </c>
      <c r="E155" s="15" t="s">
        <v>214</v>
      </c>
      <c r="F155" s="15" t="s">
        <v>170</v>
      </c>
      <c r="G155" s="17" t="str">
        <f t="shared" si="2"/>
        <v>Small</v>
      </c>
      <c r="H155" s="3">
        <v>5145</v>
      </c>
      <c r="I155" s="4">
        <v>31.7</v>
      </c>
      <c r="J155" s="5">
        <v>123949.79980563655</v>
      </c>
      <c r="K155" s="6">
        <v>1.4257970388714375E-3</v>
      </c>
      <c r="L155" s="5">
        <v>371.50619241982503</v>
      </c>
      <c r="M155" s="5">
        <v>42.759961127308067</v>
      </c>
      <c r="N155" s="11">
        <v>362.35151992225462</v>
      </c>
      <c r="O155" s="13">
        <v>2024</v>
      </c>
    </row>
    <row r="156" spans="1:15" ht="14.5" customHeight="1" x14ac:dyDescent="0.35">
      <c r="A156" s="20" t="s">
        <v>372</v>
      </c>
      <c r="B156" s="15" t="s">
        <v>373</v>
      </c>
      <c r="C156" s="15" t="s">
        <v>3108</v>
      </c>
      <c r="D156" s="16" t="s">
        <v>67</v>
      </c>
      <c r="E156" s="15" t="s">
        <v>183</v>
      </c>
      <c r="F156" s="15" t="s">
        <v>170</v>
      </c>
      <c r="G156" s="17" t="str">
        <f t="shared" si="2"/>
        <v>Small</v>
      </c>
      <c r="H156" s="3">
        <v>2247</v>
      </c>
      <c r="I156" s="4">
        <v>77.8</v>
      </c>
      <c r="J156" s="5">
        <v>85368.781041388516</v>
      </c>
      <c r="K156" s="6">
        <v>4.8913103004175435E-3</v>
      </c>
      <c r="L156" s="5">
        <v>594.61270582999555</v>
      </c>
      <c r="M156" s="5">
        <v>93.45794392523365</v>
      </c>
      <c r="N156" s="11">
        <v>1097.054210057855</v>
      </c>
      <c r="O156" s="13">
        <v>2024</v>
      </c>
    </row>
    <row r="157" spans="1:15" ht="14.5" customHeight="1" x14ac:dyDescent="0.35">
      <c r="A157" s="20" t="s">
        <v>374</v>
      </c>
      <c r="B157" s="15" t="s">
        <v>375</v>
      </c>
      <c r="C157" s="15" t="s">
        <v>3108</v>
      </c>
      <c r="D157" s="16" t="s">
        <v>272</v>
      </c>
      <c r="E157" s="15" t="s">
        <v>273</v>
      </c>
      <c r="F157" s="15" t="s">
        <v>208</v>
      </c>
      <c r="G157" s="17" t="str">
        <f t="shared" si="2"/>
        <v>Large</v>
      </c>
      <c r="H157" s="3">
        <v>485773</v>
      </c>
      <c r="I157" s="4">
        <v>259.39999999999998</v>
      </c>
      <c r="J157" s="5">
        <v>177558.96768037745</v>
      </c>
      <c r="K157" s="6">
        <v>2.2837404402615874E-3</v>
      </c>
      <c r="L157" s="5">
        <v>428.29380389605842</v>
      </c>
      <c r="M157" s="5">
        <v>907.69762831610649</v>
      </c>
      <c r="N157" s="11">
        <v>1031.809890627927</v>
      </c>
      <c r="O157" s="13">
        <v>2024</v>
      </c>
    </row>
    <row r="158" spans="1:15" ht="14.5" customHeight="1" x14ac:dyDescent="0.35">
      <c r="A158" s="20" t="s">
        <v>376</v>
      </c>
      <c r="B158" s="15" t="s">
        <v>11</v>
      </c>
      <c r="C158" s="15" t="s">
        <v>3108</v>
      </c>
      <c r="D158" s="16" t="s">
        <v>338</v>
      </c>
      <c r="E158" s="15" t="s">
        <v>214</v>
      </c>
      <c r="F158" s="15" t="s">
        <v>170</v>
      </c>
      <c r="G158" s="17" t="str">
        <f t="shared" si="2"/>
        <v>Small</v>
      </c>
      <c r="H158" s="3">
        <v>863</v>
      </c>
      <c r="I158" s="4">
        <v>47.7</v>
      </c>
      <c r="J158" s="5">
        <v>158012.79490150636</v>
      </c>
      <c r="K158" s="6">
        <v>6.0275858676448772E-3</v>
      </c>
      <c r="L158" s="5">
        <v>1037.2611123986096</v>
      </c>
      <c r="M158" s="5">
        <v>121.6685979142526</v>
      </c>
      <c r="N158" s="11">
        <v>1699.0713325608344</v>
      </c>
      <c r="O158" s="13">
        <v>2024</v>
      </c>
    </row>
    <row r="159" spans="1:15" ht="14.5" customHeight="1" x14ac:dyDescent="0.35">
      <c r="A159" s="20" t="s">
        <v>377</v>
      </c>
      <c r="B159" s="15" t="s">
        <v>378</v>
      </c>
      <c r="C159" s="15" t="s">
        <v>3108</v>
      </c>
      <c r="D159" s="16" t="s">
        <v>94</v>
      </c>
      <c r="E159" s="15" t="s">
        <v>169</v>
      </c>
      <c r="F159" s="15" t="s">
        <v>170</v>
      </c>
      <c r="G159" s="17" t="str">
        <f t="shared" si="2"/>
        <v>Small</v>
      </c>
      <c r="H159" s="3">
        <v>5842</v>
      </c>
      <c r="I159" s="4">
        <v>59.1</v>
      </c>
      <c r="J159" s="5">
        <v>105685.00872988702</v>
      </c>
      <c r="K159" s="6">
        <v>7.4666532826231716E-4</v>
      </c>
      <c r="L159" s="5">
        <v>345.92879150975693</v>
      </c>
      <c r="M159" s="5">
        <v>420.14378637452927</v>
      </c>
      <c r="N159" s="11">
        <v>614.0561451557686</v>
      </c>
      <c r="O159" s="13">
        <v>2024</v>
      </c>
    </row>
    <row r="160" spans="1:15" ht="14.5" customHeight="1" x14ac:dyDescent="0.35">
      <c r="A160" s="20" t="s">
        <v>379</v>
      </c>
      <c r="B160" s="15" t="s">
        <v>380</v>
      </c>
      <c r="C160" s="15" t="s">
        <v>3108</v>
      </c>
      <c r="D160" s="16" t="s">
        <v>77</v>
      </c>
      <c r="E160" s="15" t="s">
        <v>217</v>
      </c>
      <c r="F160" s="15" t="s">
        <v>170</v>
      </c>
      <c r="G160" s="17" t="str">
        <f t="shared" si="2"/>
        <v>Medium</v>
      </c>
      <c r="H160" s="3">
        <v>12581</v>
      </c>
      <c r="I160" s="4">
        <v>44.4</v>
      </c>
      <c r="J160" s="5">
        <v>119082.60837771243</v>
      </c>
      <c r="K160" s="6">
        <v>2.8018027034614045E-3</v>
      </c>
      <c r="L160" s="5">
        <v>530.5889039027104</v>
      </c>
      <c r="M160" s="5">
        <v>34.178523169859311</v>
      </c>
      <c r="N160" s="11">
        <v>730.42492647643269</v>
      </c>
      <c r="O160" s="13">
        <v>2024</v>
      </c>
    </row>
    <row r="161" spans="1:15" ht="14.5" customHeight="1" x14ac:dyDescent="0.35">
      <c r="A161" s="20" t="s">
        <v>381</v>
      </c>
      <c r="B161" s="15" t="s">
        <v>382</v>
      </c>
      <c r="C161" s="15" t="s">
        <v>3108</v>
      </c>
      <c r="D161" s="16" t="s">
        <v>5</v>
      </c>
      <c r="E161" s="15" t="s">
        <v>183</v>
      </c>
      <c r="F161" s="15" t="s">
        <v>170</v>
      </c>
      <c r="G161" s="17" t="str">
        <f t="shared" si="2"/>
        <v>Small</v>
      </c>
      <c r="H161" s="3">
        <v>4314</v>
      </c>
      <c r="I161" s="4">
        <v>22.1</v>
      </c>
      <c r="J161" s="5">
        <v>66885.363004172468</v>
      </c>
      <c r="K161" s="6">
        <v>2.378924164545946E-3</v>
      </c>
      <c r="L161" s="5">
        <v>353.61365554010195</v>
      </c>
      <c r="M161" s="5">
        <v>771.47728558182655</v>
      </c>
      <c r="N161" s="11">
        <v>745.75463375057961</v>
      </c>
      <c r="O161" s="13">
        <v>2024</v>
      </c>
    </row>
    <row r="162" spans="1:15" ht="14.5" customHeight="1" x14ac:dyDescent="0.35">
      <c r="A162" s="20" t="s">
        <v>383</v>
      </c>
      <c r="B162" s="15" t="s">
        <v>384</v>
      </c>
      <c r="C162" s="15" t="s">
        <v>3108</v>
      </c>
      <c r="D162" s="16" t="s">
        <v>282</v>
      </c>
      <c r="E162" s="15" t="s">
        <v>169</v>
      </c>
      <c r="F162" s="15" t="s">
        <v>170</v>
      </c>
      <c r="G162" s="17" t="str">
        <f t="shared" si="2"/>
        <v>Small</v>
      </c>
      <c r="H162" s="3">
        <v>1421</v>
      </c>
      <c r="I162" s="4">
        <v>44.4</v>
      </c>
      <c r="J162" s="5">
        <v>59079.591133004928</v>
      </c>
      <c r="K162" s="6">
        <v>9.0664677722947697E-3</v>
      </c>
      <c r="L162" s="5">
        <v>558.97767065446874</v>
      </c>
      <c r="M162" s="5">
        <v>57.171928219563689</v>
      </c>
      <c r="N162" s="11">
        <v>905.06011259676279</v>
      </c>
      <c r="O162" s="13">
        <v>2024</v>
      </c>
    </row>
    <row r="163" spans="1:15" ht="14.5" customHeight="1" x14ac:dyDescent="0.35">
      <c r="A163" s="20" t="s">
        <v>385</v>
      </c>
      <c r="B163" s="15" t="s">
        <v>386</v>
      </c>
      <c r="C163" s="15" t="s">
        <v>3108</v>
      </c>
      <c r="D163" s="16" t="s">
        <v>69</v>
      </c>
      <c r="E163" s="15" t="s">
        <v>173</v>
      </c>
      <c r="F163" s="15" t="s">
        <v>170</v>
      </c>
      <c r="G163" s="17" t="str">
        <f t="shared" si="2"/>
        <v>Small</v>
      </c>
      <c r="H163" s="3">
        <v>1045</v>
      </c>
      <c r="I163" s="4">
        <v>44.9</v>
      </c>
      <c r="J163" s="5">
        <v>91927.292822966512</v>
      </c>
      <c r="K163" s="6">
        <v>9.2698805518457317E-3</v>
      </c>
      <c r="L163" s="5">
        <v>950.50697607655502</v>
      </c>
      <c r="M163" s="5">
        <v>0</v>
      </c>
      <c r="N163" s="11">
        <v>1188.6427846889951</v>
      </c>
      <c r="O163" s="13">
        <v>2024</v>
      </c>
    </row>
    <row r="164" spans="1:15" ht="14.5" customHeight="1" x14ac:dyDescent="0.35">
      <c r="A164" s="20" t="s">
        <v>387</v>
      </c>
      <c r="B164" s="15" t="s">
        <v>388</v>
      </c>
      <c r="C164" s="15" t="s">
        <v>3108</v>
      </c>
      <c r="D164" s="16" t="s">
        <v>193</v>
      </c>
      <c r="E164" s="15" t="s">
        <v>186</v>
      </c>
      <c r="F164" s="15" t="s">
        <v>170</v>
      </c>
      <c r="G164" s="17" t="str">
        <f t="shared" si="2"/>
        <v>Small</v>
      </c>
      <c r="H164" s="3">
        <v>1036</v>
      </c>
      <c r="I164" s="4">
        <v>27.2</v>
      </c>
      <c r="J164" s="5">
        <v>58582.212355212352</v>
      </c>
      <c r="K164" s="6">
        <v>1.0036929258838501E-2</v>
      </c>
      <c r="L164" s="5">
        <v>592.75579150579154</v>
      </c>
      <c r="M164" s="5">
        <v>0</v>
      </c>
      <c r="N164" s="11">
        <v>723.62065637065632</v>
      </c>
      <c r="O164" s="13">
        <v>2024</v>
      </c>
    </row>
    <row r="165" spans="1:15" ht="14.5" customHeight="1" x14ac:dyDescent="0.35">
      <c r="A165" s="20" t="s">
        <v>389</v>
      </c>
      <c r="B165" s="15" t="s">
        <v>390</v>
      </c>
      <c r="C165" s="15" t="s">
        <v>3108</v>
      </c>
      <c r="D165" s="16" t="s">
        <v>22</v>
      </c>
      <c r="E165" s="15" t="s">
        <v>186</v>
      </c>
      <c r="F165" s="15" t="s">
        <v>170</v>
      </c>
      <c r="G165" s="17" t="str">
        <f t="shared" si="2"/>
        <v>Small</v>
      </c>
      <c r="H165" s="3">
        <v>7543</v>
      </c>
      <c r="I165" s="4">
        <v>47.8</v>
      </c>
      <c r="J165" s="5">
        <v>106697.97083388572</v>
      </c>
      <c r="K165" s="6">
        <v>1.9001779042555301E-3</v>
      </c>
      <c r="L165" s="5">
        <v>377.65519952273632</v>
      </c>
      <c r="M165" s="5">
        <v>29.166114278138672</v>
      </c>
      <c r="N165" s="11">
        <v>501.66478987140391</v>
      </c>
      <c r="O165" s="13">
        <v>2024</v>
      </c>
    </row>
    <row r="166" spans="1:15" ht="14.5" customHeight="1" x14ac:dyDescent="0.35">
      <c r="A166" s="20" t="s">
        <v>391</v>
      </c>
      <c r="B166" s="15" t="s">
        <v>392</v>
      </c>
      <c r="C166" s="15" t="s">
        <v>3108</v>
      </c>
      <c r="D166" s="16" t="s">
        <v>234</v>
      </c>
      <c r="E166" s="15" t="s">
        <v>178</v>
      </c>
      <c r="F166" s="15" t="s">
        <v>170</v>
      </c>
      <c r="G166" s="17" t="str">
        <f t="shared" si="2"/>
        <v>Small</v>
      </c>
      <c r="H166" s="3">
        <v>1835</v>
      </c>
      <c r="I166" s="4">
        <v>37.1</v>
      </c>
      <c r="J166" s="5">
        <v>77800.212534059945</v>
      </c>
      <c r="K166" s="6">
        <v>3.7617347136405213E-3</v>
      </c>
      <c r="L166" s="5">
        <v>422.59182561307904</v>
      </c>
      <c r="M166" s="5">
        <v>0</v>
      </c>
      <c r="N166" s="11">
        <v>766.38310626702992</v>
      </c>
      <c r="O166" s="13">
        <v>2024</v>
      </c>
    </row>
    <row r="167" spans="1:15" ht="14.5" customHeight="1" x14ac:dyDescent="0.35">
      <c r="A167" s="20" t="s">
        <v>393</v>
      </c>
      <c r="B167" s="15" t="s">
        <v>394</v>
      </c>
      <c r="C167" s="15" t="s">
        <v>3108</v>
      </c>
      <c r="D167" s="16" t="s">
        <v>69</v>
      </c>
      <c r="E167" s="15" t="s">
        <v>173</v>
      </c>
      <c r="F167" s="15" t="s">
        <v>170</v>
      </c>
      <c r="G167" s="17" t="str">
        <f t="shared" si="2"/>
        <v>Small</v>
      </c>
      <c r="H167" s="3">
        <v>1665</v>
      </c>
      <c r="I167" s="4">
        <v>53.8</v>
      </c>
      <c r="J167" s="5">
        <v>108821.19339339339</v>
      </c>
      <c r="K167" s="6" t="s">
        <v>27</v>
      </c>
      <c r="L167" s="5">
        <v>0</v>
      </c>
      <c r="M167" s="5">
        <v>0</v>
      </c>
      <c r="N167" s="11">
        <v>0</v>
      </c>
      <c r="O167" s="13">
        <v>2024</v>
      </c>
    </row>
    <row r="168" spans="1:15" ht="14.5" customHeight="1" x14ac:dyDescent="0.35">
      <c r="A168" s="20" t="s">
        <v>395</v>
      </c>
      <c r="B168" s="15" t="s">
        <v>396</v>
      </c>
      <c r="C168" s="15" t="s">
        <v>3108</v>
      </c>
      <c r="D168" s="16" t="s">
        <v>7</v>
      </c>
      <c r="E168" s="15" t="s">
        <v>178</v>
      </c>
      <c r="F168" s="15" t="s">
        <v>170</v>
      </c>
      <c r="G168" s="17" t="str">
        <f t="shared" si="2"/>
        <v>Small</v>
      </c>
      <c r="H168" s="3">
        <v>2302</v>
      </c>
      <c r="I168" s="4">
        <v>32.200000000000003</v>
      </c>
      <c r="J168" s="5">
        <v>60165.54908774978</v>
      </c>
      <c r="K168" s="6">
        <v>5.5919052884881911E-3</v>
      </c>
      <c r="L168" s="5">
        <v>725.38575152041699</v>
      </c>
      <c r="M168" s="5">
        <v>4822.7628149435277</v>
      </c>
      <c r="N168" s="11">
        <v>3728.1702867072113</v>
      </c>
      <c r="O168" s="13">
        <v>2024</v>
      </c>
    </row>
    <row r="169" spans="1:15" ht="14.5" customHeight="1" x14ac:dyDescent="0.35">
      <c r="A169" s="20" t="s">
        <v>397</v>
      </c>
      <c r="B169" s="15" t="s">
        <v>398</v>
      </c>
      <c r="C169" s="15" t="s">
        <v>3108</v>
      </c>
      <c r="D169" s="16" t="s">
        <v>248</v>
      </c>
      <c r="E169" s="15" t="s">
        <v>217</v>
      </c>
      <c r="F169" s="15" t="s">
        <v>170</v>
      </c>
      <c r="G169" s="17" t="str">
        <f t="shared" si="2"/>
        <v>Small</v>
      </c>
      <c r="H169" s="3">
        <v>6644</v>
      </c>
      <c r="I169" s="4">
        <v>59.8</v>
      </c>
      <c r="J169" s="5">
        <v>157329.24096929561</v>
      </c>
      <c r="K169" s="6">
        <v>3.9233957576954095E-3</v>
      </c>
      <c r="L169" s="5">
        <v>625.39427904876572</v>
      </c>
      <c r="M169" s="5">
        <v>760.48459813365446</v>
      </c>
      <c r="N169" s="11">
        <v>1010.0831878386515</v>
      </c>
      <c r="O169" s="13">
        <v>2024</v>
      </c>
    </row>
    <row r="170" spans="1:15" ht="14.5" customHeight="1" x14ac:dyDescent="0.35">
      <c r="A170" s="20" t="s">
        <v>399</v>
      </c>
      <c r="B170" s="15" t="s">
        <v>400</v>
      </c>
      <c r="C170" s="15" t="s">
        <v>3108</v>
      </c>
      <c r="D170" s="16" t="s">
        <v>269</v>
      </c>
      <c r="E170" s="15" t="s">
        <v>178</v>
      </c>
      <c r="F170" s="15" t="s">
        <v>170</v>
      </c>
      <c r="G170" s="17" t="str">
        <f t="shared" si="2"/>
        <v>Small</v>
      </c>
      <c r="H170" s="3">
        <v>4154</v>
      </c>
      <c r="I170" s="4">
        <v>43.9</v>
      </c>
      <c r="J170" s="5">
        <v>85716.185844968699</v>
      </c>
      <c r="K170" s="6">
        <v>3.5982190624299325E-3</v>
      </c>
      <c r="L170" s="5">
        <v>325.3471352912855</v>
      </c>
      <c r="M170" s="5">
        <v>0</v>
      </c>
      <c r="N170" s="11">
        <v>446.44727973038033</v>
      </c>
      <c r="O170" s="13">
        <v>2024</v>
      </c>
    </row>
    <row r="171" spans="1:15" ht="14.5" customHeight="1" x14ac:dyDescent="0.35">
      <c r="A171" s="20" t="s">
        <v>401</v>
      </c>
      <c r="B171" s="15" t="s">
        <v>402</v>
      </c>
      <c r="C171" s="15" t="s">
        <v>3108</v>
      </c>
      <c r="D171" s="16" t="s">
        <v>324</v>
      </c>
      <c r="E171" s="15" t="s">
        <v>207</v>
      </c>
      <c r="F171" s="15" t="s">
        <v>208</v>
      </c>
      <c r="G171" s="17" t="str">
        <f t="shared" si="2"/>
        <v>Small</v>
      </c>
      <c r="H171" s="3">
        <v>2989</v>
      </c>
      <c r="I171" s="4">
        <v>48.6</v>
      </c>
      <c r="J171" s="5">
        <v>192904.20642355303</v>
      </c>
      <c r="K171" s="6">
        <v>4.1733852326813481E-3</v>
      </c>
      <c r="L171" s="5">
        <v>823.53596520575445</v>
      </c>
      <c r="M171" s="5">
        <v>178.43158246905318</v>
      </c>
      <c r="N171" s="11">
        <v>1076.490130478421</v>
      </c>
      <c r="O171" s="13">
        <v>2024</v>
      </c>
    </row>
    <row r="172" spans="1:15" ht="14.5" customHeight="1" x14ac:dyDescent="0.35">
      <c r="A172" s="20" t="s">
        <v>403</v>
      </c>
      <c r="B172" s="15" t="s">
        <v>404</v>
      </c>
      <c r="C172" s="15" t="s">
        <v>3108</v>
      </c>
      <c r="D172" s="16" t="s">
        <v>48</v>
      </c>
      <c r="E172" s="15" t="s">
        <v>186</v>
      </c>
      <c r="F172" s="15" t="s">
        <v>170</v>
      </c>
      <c r="G172" s="17" t="str">
        <f t="shared" si="2"/>
        <v>Small</v>
      </c>
      <c r="H172" s="3">
        <v>5743</v>
      </c>
      <c r="I172" s="4">
        <v>39.700000000000003</v>
      </c>
      <c r="J172" s="5">
        <v>126306.63416332928</v>
      </c>
      <c r="K172" s="6" t="s">
        <v>27</v>
      </c>
      <c r="L172" s="5">
        <v>0</v>
      </c>
      <c r="M172" s="5">
        <v>0</v>
      </c>
      <c r="N172" s="11">
        <v>0</v>
      </c>
      <c r="O172" s="13">
        <v>2024</v>
      </c>
    </row>
    <row r="173" spans="1:15" ht="14.5" customHeight="1" x14ac:dyDescent="0.35">
      <c r="A173" s="20" t="s">
        <v>405</v>
      </c>
      <c r="B173" s="15" t="s">
        <v>406</v>
      </c>
      <c r="C173" s="15" t="s">
        <v>3108</v>
      </c>
      <c r="D173" s="16" t="s">
        <v>237</v>
      </c>
      <c r="E173" s="15" t="s">
        <v>217</v>
      </c>
      <c r="F173" s="15" t="s">
        <v>170</v>
      </c>
      <c r="G173" s="17" t="str">
        <f t="shared" si="2"/>
        <v>Small</v>
      </c>
      <c r="H173" s="3">
        <v>1952</v>
      </c>
      <c r="I173" s="4">
        <v>36.4</v>
      </c>
      <c r="J173" s="5">
        <v>119981.73104508196</v>
      </c>
      <c r="K173" s="6" t="s">
        <v>27</v>
      </c>
      <c r="L173" s="5">
        <v>0</v>
      </c>
      <c r="M173" s="5">
        <v>0</v>
      </c>
      <c r="N173" s="11">
        <v>0</v>
      </c>
      <c r="O173" s="13">
        <v>2024</v>
      </c>
    </row>
    <row r="174" spans="1:15" ht="14.5" customHeight="1" x14ac:dyDescent="0.35">
      <c r="A174" s="20" t="s">
        <v>407</v>
      </c>
      <c r="B174" s="15" t="s">
        <v>408</v>
      </c>
      <c r="C174" s="15" t="s">
        <v>3108</v>
      </c>
      <c r="D174" s="16" t="s">
        <v>81</v>
      </c>
      <c r="E174" s="15" t="s">
        <v>214</v>
      </c>
      <c r="F174" s="15" t="s">
        <v>170</v>
      </c>
      <c r="G174" s="17" t="str">
        <f t="shared" si="2"/>
        <v>Small</v>
      </c>
      <c r="H174" s="3">
        <v>4787</v>
      </c>
      <c r="I174" s="4">
        <v>54</v>
      </c>
      <c r="J174" s="5">
        <v>67647.546271151034</v>
      </c>
      <c r="K174" s="6">
        <v>7.8651743406988586E-4</v>
      </c>
      <c r="L174" s="5">
        <v>217.95844370169206</v>
      </c>
      <c r="M174" s="5">
        <v>0</v>
      </c>
      <c r="N174" s="11">
        <v>393.79281178190934</v>
      </c>
      <c r="O174" s="13">
        <v>2024</v>
      </c>
    </row>
    <row r="175" spans="1:15" ht="14.5" customHeight="1" x14ac:dyDescent="0.35">
      <c r="A175" s="20" t="s">
        <v>409</v>
      </c>
      <c r="B175" s="15" t="s">
        <v>410</v>
      </c>
      <c r="C175" s="15" t="s">
        <v>3108</v>
      </c>
      <c r="D175" s="16" t="s">
        <v>18</v>
      </c>
      <c r="E175" s="15" t="s">
        <v>173</v>
      </c>
      <c r="F175" s="15" t="s">
        <v>170</v>
      </c>
      <c r="G175" s="17" t="str">
        <f t="shared" si="2"/>
        <v>Small</v>
      </c>
      <c r="H175" s="3">
        <v>899</v>
      </c>
      <c r="I175" s="4">
        <v>46.7</v>
      </c>
      <c r="J175" s="5">
        <v>75937.087875417128</v>
      </c>
      <c r="K175" s="6">
        <v>7.2809817599434881E-3</v>
      </c>
      <c r="L175" s="5">
        <v>842.40985539488315</v>
      </c>
      <c r="M175" s="5">
        <v>600.50626251390429</v>
      </c>
      <c r="N175" s="11">
        <v>2176.7456062291435</v>
      </c>
      <c r="O175" s="13">
        <v>2024</v>
      </c>
    </row>
    <row r="176" spans="1:15" ht="14.5" customHeight="1" x14ac:dyDescent="0.35">
      <c r="A176" s="20" t="s">
        <v>411</v>
      </c>
      <c r="B176" s="15" t="s">
        <v>412</v>
      </c>
      <c r="C176" s="15" t="s">
        <v>3108</v>
      </c>
      <c r="D176" s="16" t="s">
        <v>89</v>
      </c>
      <c r="E176" s="15" t="s">
        <v>183</v>
      </c>
      <c r="F176" s="15" t="s">
        <v>170</v>
      </c>
      <c r="G176" s="17" t="str">
        <f t="shared" si="2"/>
        <v>Medium</v>
      </c>
      <c r="H176" s="3">
        <v>25346</v>
      </c>
      <c r="I176" s="4">
        <v>34.4</v>
      </c>
      <c r="J176" s="5">
        <v>88677.598555985169</v>
      </c>
      <c r="K176" s="6">
        <v>7.0411469998097045E-3</v>
      </c>
      <c r="L176" s="5">
        <v>743.90230529472103</v>
      </c>
      <c r="M176" s="5">
        <v>326.90029985007499</v>
      </c>
      <c r="N176" s="11">
        <v>1143.591797127752</v>
      </c>
      <c r="O176" s="13">
        <v>2024</v>
      </c>
    </row>
    <row r="177" spans="1:15" ht="14.5" customHeight="1" x14ac:dyDescent="0.35">
      <c r="A177" s="20" t="s">
        <v>413</v>
      </c>
      <c r="B177" s="15" t="s">
        <v>414</v>
      </c>
      <c r="C177" s="15" t="s">
        <v>3108</v>
      </c>
      <c r="D177" s="16" t="s">
        <v>18</v>
      </c>
      <c r="E177" s="15" t="s">
        <v>173</v>
      </c>
      <c r="F177" s="15" t="s">
        <v>170</v>
      </c>
      <c r="G177" s="17" t="str">
        <f t="shared" si="2"/>
        <v>Small</v>
      </c>
      <c r="H177" s="3">
        <v>3160</v>
      </c>
      <c r="I177" s="4">
        <v>40.700000000000003</v>
      </c>
      <c r="J177" s="5">
        <v>66047.702215189871</v>
      </c>
      <c r="K177" s="6">
        <v>3.6219123348511552E-3</v>
      </c>
      <c r="L177" s="5">
        <v>524.31753797468355</v>
      </c>
      <c r="M177" s="5">
        <v>717.86059810126585</v>
      </c>
      <c r="N177" s="11">
        <v>1044.5911898734178</v>
      </c>
      <c r="O177" s="13">
        <v>2024</v>
      </c>
    </row>
    <row r="178" spans="1:15" ht="14.5" customHeight="1" x14ac:dyDescent="0.35">
      <c r="A178" s="20" t="s">
        <v>415</v>
      </c>
      <c r="B178" s="15" t="s">
        <v>416</v>
      </c>
      <c r="C178" s="15" t="s">
        <v>3108</v>
      </c>
      <c r="D178" s="16" t="s">
        <v>37</v>
      </c>
      <c r="E178" s="15" t="s">
        <v>217</v>
      </c>
      <c r="F178" s="15" t="s">
        <v>170</v>
      </c>
      <c r="G178" s="17" t="str">
        <f t="shared" si="2"/>
        <v>Small</v>
      </c>
      <c r="H178" s="3">
        <v>1570</v>
      </c>
      <c r="I178" s="4">
        <v>36.700000000000003</v>
      </c>
      <c r="J178" s="5">
        <v>346518.05541401275</v>
      </c>
      <c r="K178" s="6">
        <v>1.2814526974207704E-3</v>
      </c>
      <c r="L178" s="5">
        <v>749.08471337579613</v>
      </c>
      <c r="M178" s="5">
        <v>0</v>
      </c>
      <c r="N178" s="11">
        <v>1133.6872611464969</v>
      </c>
      <c r="O178" s="13">
        <v>2024</v>
      </c>
    </row>
    <row r="179" spans="1:15" ht="14.5" customHeight="1" x14ac:dyDescent="0.35">
      <c r="A179" s="20" t="s">
        <v>417</v>
      </c>
      <c r="B179" s="15" t="s">
        <v>418</v>
      </c>
      <c r="C179" s="15" t="s">
        <v>3108</v>
      </c>
      <c r="D179" s="16" t="s">
        <v>15</v>
      </c>
      <c r="E179" s="15" t="s">
        <v>178</v>
      </c>
      <c r="F179" s="15" t="s">
        <v>170</v>
      </c>
      <c r="G179" s="17" t="str">
        <f t="shared" si="2"/>
        <v>Small</v>
      </c>
      <c r="H179" s="3">
        <v>1668</v>
      </c>
      <c r="I179" s="4">
        <v>29.9</v>
      </c>
      <c r="J179" s="5">
        <v>153561.82494004795</v>
      </c>
      <c r="K179" s="6">
        <v>3.2166513410005963E-3</v>
      </c>
      <c r="L179" s="5">
        <v>1166.6376438848922</v>
      </c>
      <c r="M179" s="5">
        <v>1581.5150659472422</v>
      </c>
      <c r="N179" s="11">
        <v>1487.9012410071944</v>
      </c>
      <c r="O179" s="13">
        <v>2024</v>
      </c>
    </row>
    <row r="180" spans="1:15" ht="14.5" customHeight="1" x14ac:dyDescent="0.35">
      <c r="A180" s="20" t="s">
        <v>419</v>
      </c>
      <c r="B180" s="15" t="s">
        <v>420</v>
      </c>
      <c r="C180" s="15" t="s">
        <v>3108</v>
      </c>
      <c r="D180" s="16" t="s">
        <v>3</v>
      </c>
      <c r="E180" s="15" t="s">
        <v>214</v>
      </c>
      <c r="F180" s="15" t="s">
        <v>170</v>
      </c>
      <c r="G180" s="17" t="str">
        <f t="shared" si="2"/>
        <v>Small</v>
      </c>
      <c r="H180" s="3">
        <v>3660</v>
      </c>
      <c r="I180" s="4">
        <v>42.6</v>
      </c>
      <c r="J180" s="5">
        <v>66779.699453551919</v>
      </c>
      <c r="K180" s="6">
        <v>2.2353984248837111E-3</v>
      </c>
      <c r="L180" s="5">
        <v>336.28935519125685</v>
      </c>
      <c r="M180" s="5">
        <v>621.54566939890708</v>
      </c>
      <c r="N180" s="11">
        <v>980.03338524590163</v>
      </c>
      <c r="O180" s="13">
        <v>2024</v>
      </c>
    </row>
    <row r="181" spans="1:15" ht="14.5" customHeight="1" x14ac:dyDescent="0.35">
      <c r="A181" s="20" t="s">
        <v>421</v>
      </c>
      <c r="B181" s="15" t="s">
        <v>104</v>
      </c>
      <c r="C181" s="15" t="s">
        <v>3108</v>
      </c>
      <c r="D181" s="16" t="s">
        <v>15</v>
      </c>
      <c r="E181" s="15" t="s">
        <v>178</v>
      </c>
      <c r="F181" s="15" t="s">
        <v>170</v>
      </c>
      <c r="G181" s="17" t="str">
        <f t="shared" si="2"/>
        <v>Medium</v>
      </c>
      <c r="H181" s="3">
        <v>11109</v>
      </c>
      <c r="I181" s="4">
        <v>56.8</v>
      </c>
      <c r="J181" s="5">
        <v>173783.21730128725</v>
      </c>
      <c r="K181" s="6">
        <v>2.3466808875240901E-3</v>
      </c>
      <c r="L181" s="5">
        <v>988.54559366279591</v>
      </c>
      <c r="M181" s="5">
        <v>560.93863984156985</v>
      </c>
      <c r="N181" s="11">
        <v>1357.6295796201277</v>
      </c>
      <c r="O181" s="13">
        <v>2024</v>
      </c>
    </row>
    <row r="182" spans="1:15" ht="14.5" customHeight="1" x14ac:dyDescent="0.35">
      <c r="A182" s="20" t="s">
        <v>422</v>
      </c>
      <c r="B182" s="15" t="s">
        <v>423</v>
      </c>
      <c r="C182" s="15" t="s">
        <v>3108</v>
      </c>
      <c r="D182" s="16" t="s">
        <v>292</v>
      </c>
      <c r="E182" s="15" t="s">
        <v>173</v>
      </c>
      <c r="F182" s="15" t="s">
        <v>170</v>
      </c>
      <c r="G182" s="17" t="str">
        <f t="shared" si="2"/>
        <v>Small</v>
      </c>
      <c r="H182" s="3">
        <v>5149</v>
      </c>
      <c r="I182" s="4">
        <v>94.5</v>
      </c>
      <c r="J182" s="5">
        <v>71255.751796465338</v>
      </c>
      <c r="K182" s="6">
        <v>5.5478548237444568E-3</v>
      </c>
      <c r="L182" s="5">
        <v>555.91567100407849</v>
      </c>
      <c r="M182" s="5">
        <v>0</v>
      </c>
      <c r="N182" s="11">
        <v>695.93755486502232</v>
      </c>
      <c r="O182" s="13">
        <v>2024</v>
      </c>
    </row>
    <row r="183" spans="1:15" ht="14.5" customHeight="1" x14ac:dyDescent="0.35">
      <c r="A183" s="20" t="s">
        <v>424</v>
      </c>
      <c r="B183" s="15" t="s">
        <v>425</v>
      </c>
      <c r="C183" s="15" t="s">
        <v>3108</v>
      </c>
      <c r="D183" s="16" t="s">
        <v>193</v>
      </c>
      <c r="E183" s="15" t="s">
        <v>186</v>
      </c>
      <c r="F183" s="15" t="s">
        <v>170</v>
      </c>
      <c r="G183" s="17" t="str">
        <f t="shared" si="2"/>
        <v>Small</v>
      </c>
      <c r="H183" s="3">
        <v>2294</v>
      </c>
      <c r="I183" s="4">
        <v>35.700000000000003</v>
      </c>
      <c r="J183" s="5">
        <v>53840.739319965127</v>
      </c>
      <c r="K183" s="6">
        <v>1.0293119971769885E-2</v>
      </c>
      <c r="L183" s="5">
        <v>556.66390584132523</v>
      </c>
      <c r="M183" s="5">
        <v>3576.5187445510028</v>
      </c>
      <c r="N183" s="11">
        <v>1621.1865736704447</v>
      </c>
      <c r="O183" s="13">
        <v>2024</v>
      </c>
    </row>
    <row r="184" spans="1:15" ht="14.5" customHeight="1" x14ac:dyDescent="0.35">
      <c r="A184" s="20" t="s">
        <v>426</v>
      </c>
      <c r="B184" s="15" t="s">
        <v>427</v>
      </c>
      <c r="C184" s="15" t="s">
        <v>3108</v>
      </c>
      <c r="D184" s="16" t="s">
        <v>18</v>
      </c>
      <c r="E184" s="15" t="s">
        <v>173</v>
      </c>
      <c r="F184" s="15" t="s">
        <v>170</v>
      </c>
      <c r="G184" s="17" t="str">
        <f t="shared" si="2"/>
        <v>Small</v>
      </c>
      <c r="H184" s="3">
        <v>3295</v>
      </c>
      <c r="I184" s="4">
        <v>54.4</v>
      </c>
      <c r="J184" s="5">
        <v>52362.717450682852</v>
      </c>
      <c r="K184" s="6">
        <v>5.3859033272720758E-3</v>
      </c>
      <c r="L184" s="5">
        <v>303.77591198786041</v>
      </c>
      <c r="M184" s="5">
        <v>0</v>
      </c>
      <c r="N184" s="11">
        <v>362.03184522003033</v>
      </c>
      <c r="O184" s="13">
        <v>2024</v>
      </c>
    </row>
    <row r="185" spans="1:15" ht="14.5" customHeight="1" x14ac:dyDescent="0.35">
      <c r="A185" s="20" t="s">
        <v>428</v>
      </c>
      <c r="B185" s="15" t="s">
        <v>429</v>
      </c>
      <c r="C185" s="15" t="s">
        <v>3108</v>
      </c>
      <c r="D185" s="16" t="s">
        <v>63</v>
      </c>
      <c r="E185" s="15" t="s">
        <v>169</v>
      </c>
      <c r="F185" s="15" t="s">
        <v>170</v>
      </c>
      <c r="G185" s="17" t="str">
        <f t="shared" si="2"/>
        <v>Medium</v>
      </c>
      <c r="H185" s="3">
        <v>11638</v>
      </c>
      <c r="I185" s="4">
        <v>104.8</v>
      </c>
      <c r="J185" s="5">
        <v>46808.234576387695</v>
      </c>
      <c r="K185" s="6">
        <v>2.7297282098774837E-3</v>
      </c>
      <c r="L185" s="5">
        <v>238.17141003608867</v>
      </c>
      <c r="M185" s="5">
        <v>0</v>
      </c>
      <c r="N185" s="11">
        <v>383.32717906856846</v>
      </c>
      <c r="O185" s="13">
        <v>2024</v>
      </c>
    </row>
    <row r="186" spans="1:15" ht="14.5" customHeight="1" x14ac:dyDescent="0.35">
      <c r="A186" s="20" t="s">
        <v>430</v>
      </c>
      <c r="B186" s="15" t="s">
        <v>431</v>
      </c>
      <c r="C186" s="15" t="s">
        <v>3108</v>
      </c>
      <c r="D186" s="16" t="s">
        <v>94</v>
      </c>
      <c r="E186" s="15" t="s">
        <v>169</v>
      </c>
      <c r="F186" s="15" t="s">
        <v>170</v>
      </c>
      <c r="G186" s="17" t="str">
        <f t="shared" si="2"/>
        <v>Small</v>
      </c>
      <c r="H186" s="3">
        <v>2765</v>
      </c>
      <c r="I186" s="4">
        <v>56.4</v>
      </c>
      <c r="J186" s="5">
        <v>172969.63182640146</v>
      </c>
      <c r="K186" s="6">
        <v>1.0969950819660339E-3</v>
      </c>
      <c r="L186" s="5">
        <v>679.62857142857138</v>
      </c>
      <c r="M186" s="5">
        <v>3202.945388788427</v>
      </c>
      <c r="N186" s="11">
        <v>1711.2734177215191</v>
      </c>
      <c r="O186" s="13">
        <v>2024</v>
      </c>
    </row>
    <row r="187" spans="1:15" ht="14.5" customHeight="1" x14ac:dyDescent="0.35">
      <c r="A187" s="20" t="s">
        <v>432</v>
      </c>
      <c r="B187" s="15" t="s">
        <v>433</v>
      </c>
      <c r="C187" s="15" t="s">
        <v>3108</v>
      </c>
      <c r="D187" s="16" t="s">
        <v>338</v>
      </c>
      <c r="E187" s="15" t="s">
        <v>214</v>
      </c>
      <c r="F187" s="15" t="s">
        <v>170</v>
      </c>
      <c r="G187" s="17" t="str">
        <f t="shared" si="2"/>
        <v>Small</v>
      </c>
      <c r="H187" s="3">
        <v>1768</v>
      </c>
      <c r="I187" s="4">
        <v>34.1</v>
      </c>
      <c r="J187" s="5">
        <v>86585.622171945695</v>
      </c>
      <c r="K187" s="6">
        <v>3.2880512567726164E-3</v>
      </c>
      <c r="L187" s="5">
        <v>504.70854638009047</v>
      </c>
      <c r="M187" s="5">
        <v>0</v>
      </c>
      <c r="N187" s="11">
        <v>732.81284502262451</v>
      </c>
      <c r="O187" s="13">
        <v>2024</v>
      </c>
    </row>
    <row r="188" spans="1:15" ht="14.5" customHeight="1" x14ac:dyDescent="0.35">
      <c r="A188" s="20" t="s">
        <v>434</v>
      </c>
      <c r="B188" s="15" t="s">
        <v>435</v>
      </c>
      <c r="C188" s="15" t="s">
        <v>3108</v>
      </c>
      <c r="D188" s="16" t="s">
        <v>181</v>
      </c>
      <c r="E188" s="15" t="s">
        <v>178</v>
      </c>
      <c r="F188" s="15" t="s">
        <v>170</v>
      </c>
      <c r="G188" s="17" t="str">
        <f t="shared" si="2"/>
        <v>Small</v>
      </c>
      <c r="H188" s="3">
        <v>2835</v>
      </c>
      <c r="I188" s="4">
        <v>43.6</v>
      </c>
      <c r="J188" s="5">
        <v>106202.44832451499</v>
      </c>
      <c r="K188" s="6">
        <v>5.5741564775120302E-3</v>
      </c>
      <c r="L188" s="5">
        <v>638.3389770723104</v>
      </c>
      <c r="M188" s="5">
        <v>1249.100529100529</v>
      </c>
      <c r="N188" s="11">
        <v>1032.494532627866</v>
      </c>
      <c r="O188" s="13">
        <v>2024</v>
      </c>
    </row>
    <row r="189" spans="1:15" ht="14.5" customHeight="1" x14ac:dyDescent="0.35">
      <c r="A189" s="20" t="s">
        <v>436</v>
      </c>
      <c r="B189" s="15" t="s">
        <v>437</v>
      </c>
      <c r="C189" s="15" t="s">
        <v>3108</v>
      </c>
      <c r="D189" s="16" t="s">
        <v>438</v>
      </c>
      <c r="E189" s="15" t="s">
        <v>207</v>
      </c>
      <c r="F189" s="15" t="s">
        <v>208</v>
      </c>
      <c r="G189" s="17" t="str">
        <f t="shared" si="2"/>
        <v>Medium</v>
      </c>
      <c r="H189" s="3">
        <v>33576</v>
      </c>
      <c r="I189" s="4">
        <v>35.9</v>
      </c>
      <c r="J189" s="5">
        <v>183104.22075291874</v>
      </c>
      <c r="K189" s="6">
        <v>6.3187691361090781E-3</v>
      </c>
      <c r="L189" s="5">
        <v>1287.3945079818918</v>
      </c>
      <c r="M189" s="5">
        <v>927.2516082916369</v>
      </c>
      <c r="N189" s="11">
        <v>1769.8538241601143</v>
      </c>
      <c r="O189" s="13">
        <v>2024</v>
      </c>
    </row>
    <row r="190" spans="1:15" ht="14.5" customHeight="1" x14ac:dyDescent="0.35">
      <c r="A190" s="20" t="s">
        <v>439</v>
      </c>
      <c r="B190" s="15" t="s">
        <v>440</v>
      </c>
      <c r="C190" s="15" t="s">
        <v>3108</v>
      </c>
      <c r="D190" s="16" t="s">
        <v>34</v>
      </c>
      <c r="E190" s="15" t="s">
        <v>214</v>
      </c>
      <c r="F190" s="15" t="s">
        <v>170</v>
      </c>
      <c r="G190" s="17" t="str">
        <f t="shared" si="2"/>
        <v>Small</v>
      </c>
      <c r="H190" s="3">
        <v>1264</v>
      </c>
      <c r="I190" s="4">
        <v>50.6</v>
      </c>
      <c r="J190" s="5">
        <v>277008.5466772152</v>
      </c>
      <c r="K190" s="6">
        <v>3.6533302765646338E-3</v>
      </c>
      <c r="L190" s="5">
        <v>1716.0258544303795</v>
      </c>
      <c r="M190" s="5">
        <v>47.467879746835443</v>
      </c>
      <c r="N190" s="11">
        <v>2399.293805379747</v>
      </c>
      <c r="O190" s="13">
        <v>2024</v>
      </c>
    </row>
    <row r="191" spans="1:15" ht="14.5" customHeight="1" x14ac:dyDescent="0.35">
      <c r="A191" s="20" t="s">
        <v>441</v>
      </c>
      <c r="B191" s="15" t="s">
        <v>442</v>
      </c>
      <c r="C191" s="15" t="s">
        <v>3108</v>
      </c>
      <c r="D191" s="16" t="s">
        <v>39</v>
      </c>
      <c r="E191" s="15" t="s">
        <v>173</v>
      </c>
      <c r="F191" s="15" t="s">
        <v>170</v>
      </c>
      <c r="G191" s="17" t="str">
        <f t="shared" si="2"/>
        <v>Small</v>
      </c>
      <c r="H191" s="3">
        <v>3334</v>
      </c>
      <c r="I191" s="4">
        <v>54.8</v>
      </c>
      <c r="J191" s="5">
        <v>100626.53569286143</v>
      </c>
      <c r="K191" s="6">
        <v>5.6867579541461386E-3</v>
      </c>
      <c r="L191" s="5">
        <v>579.58715656868617</v>
      </c>
      <c r="M191" s="5">
        <v>14.450248950209957</v>
      </c>
      <c r="N191" s="11">
        <v>834.10539592081591</v>
      </c>
      <c r="O191" s="13">
        <v>2024</v>
      </c>
    </row>
    <row r="192" spans="1:15" ht="14.5" customHeight="1" x14ac:dyDescent="0.35">
      <c r="A192" s="20" t="s">
        <v>443</v>
      </c>
      <c r="B192" s="15" t="s">
        <v>444</v>
      </c>
      <c r="C192" s="15" t="s">
        <v>3108</v>
      </c>
      <c r="D192" s="16" t="s">
        <v>22</v>
      </c>
      <c r="E192" s="15" t="s">
        <v>186</v>
      </c>
      <c r="F192" s="15" t="s">
        <v>170</v>
      </c>
      <c r="G192" s="17" t="str">
        <f t="shared" ref="G192:G255" si="3">IF(H192&lt;=10000,"Small",(IF(H192&lt;=100000,"Medium",IF(H192&gt;100000,"Large"))))</f>
        <v>Small</v>
      </c>
      <c r="H192" s="3">
        <v>3456</v>
      </c>
      <c r="I192" s="4">
        <v>33.299999999999997</v>
      </c>
      <c r="J192" s="5">
        <v>57519.709490740737</v>
      </c>
      <c r="K192" s="6">
        <v>6.5226031922350942E-3</v>
      </c>
      <c r="L192" s="5">
        <v>621.27980324074076</v>
      </c>
      <c r="M192" s="5">
        <v>0</v>
      </c>
      <c r="N192" s="11">
        <v>800.63975694444446</v>
      </c>
      <c r="O192" s="13">
        <v>2024</v>
      </c>
    </row>
    <row r="193" spans="1:15" ht="14.5" customHeight="1" x14ac:dyDescent="0.35">
      <c r="A193" s="20" t="s">
        <v>445</v>
      </c>
      <c r="B193" s="15" t="s">
        <v>446</v>
      </c>
      <c r="C193" s="15" t="s">
        <v>3108</v>
      </c>
      <c r="D193" s="16" t="s">
        <v>65</v>
      </c>
      <c r="E193" s="15" t="s">
        <v>186</v>
      </c>
      <c r="F193" s="15" t="s">
        <v>170</v>
      </c>
      <c r="G193" s="17" t="str">
        <f t="shared" si="3"/>
        <v>Small</v>
      </c>
      <c r="H193" s="3">
        <v>1207</v>
      </c>
      <c r="I193" s="4">
        <v>42.3</v>
      </c>
      <c r="J193" s="5">
        <v>91026.584092792051</v>
      </c>
      <c r="K193" s="6" t="s">
        <v>27</v>
      </c>
      <c r="L193" s="5">
        <v>0</v>
      </c>
      <c r="M193" s="5">
        <v>0</v>
      </c>
      <c r="N193" s="11">
        <v>0</v>
      </c>
      <c r="O193" s="13">
        <v>2024</v>
      </c>
    </row>
    <row r="194" spans="1:15" ht="14.5" customHeight="1" x14ac:dyDescent="0.35">
      <c r="A194" s="20" t="s">
        <v>447</v>
      </c>
      <c r="B194" s="15" t="s">
        <v>448</v>
      </c>
      <c r="C194" s="15" t="s">
        <v>3108</v>
      </c>
      <c r="D194" s="16" t="s">
        <v>231</v>
      </c>
      <c r="E194" s="15" t="s">
        <v>178</v>
      </c>
      <c r="F194" s="15" t="s">
        <v>170</v>
      </c>
      <c r="G194" s="17" t="str">
        <f t="shared" si="3"/>
        <v>Small</v>
      </c>
      <c r="H194" s="3">
        <v>2711</v>
      </c>
      <c r="I194" s="4">
        <v>37</v>
      </c>
      <c r="J194" s="5">
        <v>131676.91220951677</v>
      </c>
      <c r="K194" s="6">
        <v>3.1297332561826987E-3</v>
      </c>
      <c r="L194" s="5">
        <v>503.83954260420506</v>
      </c>
      <c r="M194" s="5">
        <v>247.14127628181484</v>
      </c>
      <c r="N194" s="11">
        <v>857.86610106971602</v>
      </c>
      <c r="O194" s="13">
        <v>2024</v>
      </c>
    </row>
    <row r="195" spans="1:15" ht="14.5" customHeight="1" x14ac:dyDescent="0.35">
      <c r="A195" s="20" t="s">
        <v>449</v>
      </c>
      <c r="B195" s="15" t="s">
        <v>450</v>
      </c>
      <c r="C195" s="15" t="s">
        <v>3108</v>
      </c>
      <c r="D195" s="16" t="s">
        <v>451</v>
      </c>
      <c r="E195" s="15" t="s">
        <v>173</v>
      </c>
      <c r="F195" s="15" t="s">
        <v>170</v>
      </c>
      <c r="G195" s="17" t="str">
        <f t="shared" si="3"/>
        <v>Small</v>
      </c>
      <c r="H195" s="3">
        <v>1651</v>
      </c>
      <c r="I195" s="4">
        <v>32.299999999999997</v>
      </c>
      <c r="J195" s="5">
        <v>84046.354936402175</v>
      </c>
      <c r="K195" s="6" t="s">
        <v>27</v>
      </c>
      <c r="L195" s="5">
        <v>0</v>
      </c>
      <c r="M195" s="5">
        <v>0</v>
      </c>
      <c r="N195" s="11">
        <v>0</v>
      </c>
      <c r="O195" s="13">
        <v>2024</v>
      </c>
    </row>
    <row r="196" spans="1:15" ht="14.5" customHeight="1" x14ac:dyDescent="0.35">
      <c r="A196" s="20" t="s">
        <v>452</v>
      </c>
      <c r="B196" s="15" t="s">
        <v>453</v>
      </c>
      <c r="C196" s="15" t="s">
        <v>3108</v>
      </c>
      <c r="D196" s="16" t="s">
        <v>24</v>
      </c>
      <c r="E196" s="15" t="s">
        <v>173</v>
      </c>
      <c r="F196" s="15" t="s">
        <v>170</v>
      </c>
      <c r="G196" s="17" t="str">
        <f t="shared" si="3"/>
        <v>Small</v>
      </c>
      <c r="H196" s="3">
        <v>2541</v>
      </c>
      <c r="I196" s="4">
        <v>38</v>
      </c>
      <c r="J196" s="5">
        <v>85503.788272333724</v>
      </c>
      <c r="K196" s="6">
        <v>3.9327986765809808E-3</v>
      </c>
      <c r="L196" s="5">
        <v>581.45892561983464</v>
      </c>
      <c r="M196" s="5">
        <v>150.60854781582054</v>
      </c>
      <c r="N196" s="11">
        <v>776.48554506099958</v>
      </c>
      <c r="O196" s="13">
        <v>2024</v>
      </c>
    </row>
    <row r="197" spans="1:15" ht="14.5" customHeight="1" x14ac:dyDescent="0.35">
      <c r="A197" s="20" t="s">
        <v>454</v>
      </c>
      <c r="B197" s="15" t="s">
        <v>455</v>
      </c>
      <c r="C197" s="15" t="s">
        <v>3108</v>
      </c>
      <c r="D197" s="16" t="s">
        <v>5</v>
      </c>
      <c r="E197" s="15" t="s">
        <v>183</v>
      </c>
      <c r="F197" s="15" t="s">
        <v>170</v>
      </c>
      <c r="G197" s="17" t="str">
        <f t="shared" si="3"/>
        <v>Small</v>
      </c>
      <c r="H197" s="3">
        <v>2445</v>
      </c>
      <c r="I197" s="4">
        <v>33.6</v>
      </c>
      <c r="J197" s="5">
        <v>95504.7554192229</v>
      </c>
      <c r="K197" s="6" t="s">
        <v>27</v>
      </c>
      <c r="L197" s="5">
        <v>0</v>
      </c>
      <c r="M197" s="5">
        <v>0</v>
      </c>
      <c r="N197" s="11">
        <v>0</v>
      </c>
      <c r="O197" s="13">
        <v>2024</v>
      </c>
    </row>
    <row r="198" spans="1:15" ht="14.5" customHeight="1" x14ac:dyDescent="0.35">
      <c r="A198" s="20" t="s">
        <v>456</v>
      </c>
      <c r="B198" s="15" t="s">
        <v>457</v>
      </c>
      <c r="C198" s="15" t="s">
        <v>3108</v>
      </c>
      <c r="D198" s="16" t="s">
        <v>18</v>
      </c>
      <c r="E198" s="15" t="s">
        <v>173</v>
      </c>
      <c r="F198" s="15" t="s">
        <v>170</v>
      </c>
      <c r="G198" s="17" t="str">
        <f t="shared" si="3"/>
        <v>Small</v>
      </c>
      <c r="H198" s="3">
        <v>2049</v>
      </c>
      <c r="I198" s="4">
        <v>37.6</v>
      </c>
      <c r="J198" s="5">
        <v>104360.09468033187</v>
      </c>
      <c r="K198" s="6">
        <v>4.7791220915956644E-3</v>
      </c>
      <c r="L198" s="5">
        <v>560.83823328452911</v>
      </c>
      <c r="M198" s="5">
        <v>44.788189360663736</v>
      </c>
      <c r="N198" s="11">
        <v>1021.4053879941434</v>
      </c>
      <c r="O198" s="13">
        <v>2024</v>
      </c>
    </row>
    <row r="199" spans="1:15" ht="14.5" customHeight="1" x14ac:dyDescent="0.35">
      <c r="A199" s="20" t="s">
        <v>458</v>
      </c>
      <c r="B199" s="15" t="s">
        <v>459</v>
      </c>
      <c r="C199" s="15" t="s">
        <v>3108</v>
      </c>
      <c r="D199" s="16" t="s">
        <v>248</v>
      </c>
      <c r="E199" s="15" t="s">
        <v>217</v>
      </c>
      <c r="F199" s="15" t="s">
        <v>170</v>
      </c>
      <c r="G199" s="17" t="str">
        <f t="shared" si="3"/>
        <v>Medium</v>
      </c>
      <c r="H199" s="3">
        <v>11298</v>
      </c>
      <c r="I199" s="4">
        <v>60.4</v>
      </c>
      <c r="J199" s="5">
        <v>139750.83855549654</v>
      </c>
      <c r="K199" s="6">
        <v>2.7686979723201507E-3</v>
      </c>
      <c r="L199" s="5">
        <v>396.60931138254557</v>
      </c>
      <c r="M199" s="5">
        <v>913.49867233138605</v>
      </c>
      <c r="N199" s="11">
        <v>714.48486457780143</v>
      </c>
      <c r="O199" s="13">
        <v>2024</v>
      </c>
    </row>
    <row r="200" spans="1:15" ht="14.5" customHeight="1" x14ac:dyDescent="0.35">
      <c r="A200" s="20" t="s">
        <v>460</v>
      </c>
      <c r="B200" s="15" t="s">
        <v>461</v>
      </c>
      <c r="C200" s="15" t="s">
        <v>3108</v>
      </c>
      <c r="D200" s="16" t="s">
        <v>451</v>
      </c>
      <c r="E200" s="15" t="s">
        <v>173</v>
      </c>
      <c r="F200" s="15" t="s">
        <v>170</v>
      </c>
      <c r="G200" s="17" t="str">
        <f t="shared" si="3"/>
        <v>Small</v>
      </c>
      <c r="H200" s="3">
        <v>508</v>
      </c>
      <c r="I200" s="4">
        <v>20.3</v>
      </c>
      <c r="J200" s="5">
        <v>99907.139763779531</v>
      </c>
      <c r="K200" s="6">
        <v>6.1051759737442805E-3</v>
      </c>
      <c r="L200" s="5">
        <v>694.05015748031497</v>
      </c>
      <c r="M200" s="5">
        <v>0</v>
      </c>
      <c r="N200" s="11">
        <v>824.32114173228354</v>
      </c>
      <c r="O200" s="13">
        <v>2024</v>
      </c>
    </row>
    <row r="201" spans="1:15" ht="14.5" customHeight="1" x14ac:dyDescent="0.35">
      <c r="A201" s="20" t="s">
        <v>462</v>
      </c>
      <c r="B201" s="15" t="s">
        <v>463</v>
      </c>
      <c r="C201" s="15" t="s">
        <v>3108</v>
      </c>
      <c r="D201" s="16" t="s">
        <v>67</v>
      </c>
      <c r="E201" s="15" t="s">
        <v>183</v>
      </c>
      <c r="F201" s="15" t="s">
        <v>170</v>
      </c>
      <c r="G201" s="17" t="str">
        <f t="shared" si="3"/>
        <v>Small</v>
      </c>
      <c r="H201" s="3">
        <v>6740</v>
      </c>
      <c r="I201" s="4">
        <v>49.9</v>
      </c>
      <c r="J201" s="5">
        <v>154090.71691394658</v>
      </c>
      <c r="K201" s="6">
        <v>1.7317422226187328E-3</v>
      </c>
      <c r="L201" s="5">
        <v>531.6656617210682</v>
      </c>
      <c r="M201" s="5">
        <v>76.288281899109791</v>
      </c>
      <c r="N201" s="11">
        <v>893.98031305637971</v>
      </c>
      <c r="O201" s="13">
        <v>2024</v>
      </c>
    </row>
    <row r="202" spans="1:15" ht="14.5" customHeight="1" x14ac:dyDescent="0.35">
      <c r="A202" s="20" t="s">
        <v>464</v>
      </c>
      <c r="B202" s="15" t="s">
        <v>465</v>
      </c>
      <c r="C202" s="15" t="s">
        <v>3108</v>
      </c>
      <c r="D202" s="16" t="s">
        <v>193</v>
      </c>
      <c r="E202" s="15" t="s">
        <v>186</v>
      </c>
      <c r="F202" s="15" t="s">
        <v>170</v>
      </c>
      <c r="G202" s="17" t="str">
        <f t="shared" si="3"/>
        <v>Small</v>
      </c>
      <c r="H202" s="3">
        <v>929</v>
      </c>
      <c r="I202" s="4">
        <v>35.4</v>
      </c>
      <c r="J202" s="5">
        <v>67858.616792249726</v>
      </c>
      <c r="K202" s="6">
        <v>9.2343425048486572E-3</v>
      </c>
      <c r="L202" s="5">
        <v>628.53928955866525</v>
      </c>
      <c r="M202" s="5">
        <v>173.84607104413348</v>
      </c>
      <c r="N202" s="11">
        <v>1297.2572658772874</v>
      </c>
      <c r="O202" s="13">
        <v>2024</v>
      </c>
    </row>
    <row r="203" spans="1:15" ht="14.5" customHeight="1" x14ac:dyDescent="0.35">
      <c r="A203" s="20" t="s">
        <v>466</v>
      </c>
      <c r="B203" s="15" t="s">
        <v>467</v>
      </c>
      <c r="C203" s="15" t="s">
        <v>3108</v>
      </c>
      <c r="D203" s="16" t="s">
        <v>94</v>
      </c>
      <c r="E203" s="15" t="s">
        <v>169</v>
      </c>
      <c r="F203" s="15" t="s">
        <v>170</v>
      </c>
      <c r="G203" s="17" t="str">
        <f t="shared" si="3"/>
        <v>Small</v>
      </c>
      <c r="H203" s="3">
        <v>4562</v>
      </c>
      <c r="I203" s="4">
        <v>44.2</v>
      </c>
      <c r="J203" s="5">
        <v>75269.311266988167</v>
      </c>
      <c r="K203" s="6">
        <v>3.7380664009816944E-3</v>
      </c>
      <c r="L203" s="5">
        <v>456.67543621218761</v>
      </c>
      <c r="M203" s="5">
        <v>519.12757562472598</v>
      </c>
      <c r="N203" s="11">
        <v>559.27917580008773</v>
      </c>
      <c r="O203" s="13">
        <v>2024</v>
      </c>
    </row>
    <row r="204" spans="1:15" ht="14.5" customHeight="1" x14ac:dyDescent="0.35">
      <c r="A204" s="20" t="s">
        <v>468</v>
      </c>
      <c r="B204" s="15" t="s">
        <v>469</v>
      </c>
      <c r="C204" s="15" t="s">
        <v>3108</v>
      </c>
      <c r="D204" s="16" t="s">
        <v>73</v>
      </c>
      <c r="E204" s="15" t="s">
        <v>169</v>
      </c>
      <c r="F204" s="15" t="s">
        <v>170</v>
      </c>
      <c r="G204" s="17" t="str">
        <f t="shared" si="3"/>
        <v>Small</v>
      </c>
      <c r="H204" s="3">
        <v>5745</v>
      </c>
      <c r="I204" s="4">
        <v>51.2</v>
      </c>
      <c r="J204" s="5">
        <v>85507.708616187985</v>
      </c>
      <c r="K204" s="6">
        <v>2.2482920457422163E-3</v>
      </c>
      <c r="L204" s="5">
        <v>400.46892950391646</v>
      </c>
      <c r="M204" s="5">
        <v>1621.9291784160141</v>
      </c>
      <c r="N204" s="11">
        <v>672.70652741514357</v>
      </c>
      <c r="O204" s="13">
        <v>2024</v>
      </c>
    </row>
    <row r="205" spans="1:15" ht="14.5" customHeight="1" x14ac:dyDescent="0.35">
      <c r="A205" s="20" t="s">
        <v>470</v>
      </c>
      <c r="B205" s="15" t="s">
        <v>471</v>
      </c>
      <c r="C205" s="15" t="s">
        <v>3108</v>
      </c>
      <c r="D205" s="16" t="s">
        <v>3</v>
      </c>
      <c r="E205" s="15" t="s">
        <v>214</v>
      </c>
      <c r="F205" s="15" t="s">
        <v>170</v>
      </c>
      <c r="G205" s="17" t="str">
        <f t="shared" si="3"/>
        <v>Small</v>
      </c>
      <c r="H205" s="3">
        <v>1355</v>
      </c>
      <c r="I205" s="4">
        <v>41.9</v>
      </c>
      <c r="J205" s="5">
        <v>107337.77933579336</v>
      </c>
      <c r="K205" s="6">
        <v>4.0166267275679058E-3</v>
      </c>
      <c r="L205" s="5">
        <v>902.88915129151292</v>
      </c>
      <c r="M205" s="5">
        <v>73.800738007380076</v>
      </c>
      <c r="N205" s="11">
        <v>1171.6269667896679</v>
      </c>
      <c r="O205" s="13">
        <v>2024</v>
      </c>
    </row>
    <row r="206" spans="1:15" ht="14.5" customHeight="1" x14ac:dyDescent="0.35">
      <c r="A206" s="20" t="s">
        <v>472</v>
      </c>
      <c r="B206" s="15" t="s">
        <v>473</v>
      </c>
      <c r="C206" s="15" t="s">
        <v>3108</v>
      </c>
      <c r="D206" s="16" t="s">
        <v>22</v>
      </c>
      <c r="E206" s="15" t="s">
        <v>186</v>
      </c>
      <c r="F206" s="15" t="s">
        <v>170</v>
      </c>
      <c r="G206" s="17" t="str">
        <f t="shared" si="3"/>
        <v>Small</v>
      </c>
      <c r="H206" s="3">
        <v>1527</v>
      </c>
      <c r="I206" s="4">
        <v>36.4</v>
      </c>
      <c r="J206" s="5">
        <v>73655.924688932544</v>
      </c>
      <c r="K206" s="6">
        <v>5.1792260118257967E-3</v>
      </c>
      <c r="L206" s="5">
        <v>620.53962017026845</v>
      </c>
      <c r="M206" s="5">
        <v>0</v>
      </c>
      <c r="N206" s="11">
        <v>1204.9960707269156</v>
      </c>
      <c r="O206" s="13">
        <v>2024</v>
      </c>
    </row>
    <row r="207" spans="1:15" ht="14.5" customHeight="1" x14ac:dyDescent="0.35">
      <c r="A207" s="20" t="s">
        <v>474</v>
      </c>
      <c r="B207" s="15" t="s">
        <v>475</v>
      </c>
      <c r="C207" s="15" t="s">
        <v>3108</v>
      </c>
      <c r="D207" s="16" t="s">
        <v>51</v>
      </c>
      <c r="E207" s="15" t="s">
        <v>217</v>
      </c>
      <c r="F207" s="15" t="s">
        <v>170</v>
      </c>
      <c r="G207" s="17" t="str">
        <f t="shared" si="3"/>
        <v>Small</v>
      </c>
      <c r="H207" s="3">
        <v>4328</v>
      </c>
      <c r="I207" s="4">
        <v>32.799999999999997</v>
      </c>
      <c r="J207" s="5">
        <v>144821.2393715342</v>
      </c>
      <c r="K207" s="6">
        <v>3.5191911749497584E-4</v>
      </c>
      <c r="L207" s="5">
        <v>464.33849121996303</v>
      </c>
      <c r="M207" s="5">
        <v>0</v>
      </c>
      <c r="N207" s="11">
        <v>620.06536506469502</v>
      </c>
      <c r="O207" s="13">
        <v>2024</v>
      </c>
    </row>
    <row r="208" spans="1:15" ht="14.5" customHeight="1" x14ac:dyDescent="0.35">
      <c r="A208" s="20" t="s">
        <v>476</v>
      </c>
      <c r="B208" s="15" t="s">
        <v>477</v>
      </c>
      <c r="C208" s="15" t="s">
        <v>3108</v>
      </c>
      <c r="D208" s="16" t="s">
        <v>282</v>
      </c>
      <c r="E208" s="15" t="s">
        <v>169</v>
      </c>
      <c r="F208" s="15" t="s">
        <v>170</v>
      </c>
      <c r="G208" s="17" t="str">
        <f t="shared" si="3"/>
        <v>Small</v>
      </c>
      <c r="H208" s="3">
        <v>1743</v>
      </c>
      <c r="I208" s="4">
        <v>49.8</v>
      </c>
      <c r="J208" s="5">
        <v>94038.475616752723</v>
      </c>
      <c r="K208" s="6">
        <v>2.6549392817894393E-3</v>
      </c>
      <c r="L208" s="5">
        <v>265.06703958691912</v>
      </c>
      <c r="M208" s="5">
        <v>46.767641996557657</v>
      </c>
      <c r="N208" s="11">
        <v>1304.0982730923695</v>
      </c>
      <c r="O208" s="13">
        <v>2024</v>
      </c>
    </row>
    <row r="209" spans="1:15" ht="14.5" customHeight="1" x14ac:dyDescent="0.35">
      <c r="A209" s="20" t="s">
        <v>478</v>
      </c>
      <c r="B209" s="15" t="s">
        <v>479</v>
      </c>
      <c r="C209" s="15" t="s">
        <v>3108</v>
      </c>
      <c r="D209" s="16" t="s">
        <v>37</v>
      </c>
      <c r="E209" s="15" t="s">
        <v>217</v>
      </c>
      <c r="F209" s="15" t="s">
        <v>170</v>
      </c>
      <c r="G209" s="17" t="str">
        <f t="shared" si="3"/>
        <v>Small</v>
      </c>
      <c r="H209" s="3">
        <v>4104</v>
      </c>
      <c r="I209" s="4">
        <v>53.2</v>
      </c>
      <c r="J209" s="5">
        <v>269444.02022417152</v>
      </c>
      <c r="K209" s="6">
        <v>1.7067516471826894E-3</v>
      </c>
      <c r="L209" s="5">
        <v>790.66569200779725</v>
      </c>
      <c r="M209" s="5">
        <v>187.06749512670567</v>
      </c>
      <c r="N209" s="11">
        <v>1266.7100389863547</v>
      </c>
      <c r="O209" s="13">
        <v>2024</v>
      </c>
    </row>
    <row r="210" spans="1:15" ht="14.5" customHeight="1" x14ac:dyDescent="0.35">
      <c r="A210" s="20" t="s">
        <v>480</v>
      </c>
      <c r="B210" s="15" t="s">
        <v>22</v>
      </c>
      <c r="C210" s="15" t="s">
        <v>3108</v>
      </c>
      <c r="D210" s="16" t="s">
        <v>22</v>
      </c>
      <c r="E210" s="15" t="s">
        <v>186</v>
      </c>
      <c r="F210" s="15" t="s">
        <v>170</v>
      </c>
      <c r="G210" s="17" t="str">
        <f t="shared" si="3"/>
        <v>Small</v>
      </c>
      <c r="H210" s="3">
        <v>4009</v>
      </c>
      <c r="I210" s="4">
        <v>67.099999999999994</v>
      </c>
      <c r="J210" s="5">
        <v>345583.18533300073</v>
      </c>
      <c r="K210" s="6">
        <v>1.1165403493073362E-3</v>
      </c>
      <c r="L210" s="5">
        <v>1032.7850735844352</v>
      </c>
      <c r="M210" s="5">
        <v>509.11399351459215</v>
      </c>
      <c r="N210" s="11">
        <v>1526.730563731604</v>
      </c>
      <c r="O210" s="13">
        <v>2024</v>
      </c>
    </row>
    <row r="211" spans="1:15" ht="14.5" customHeight="1" x14ac:dyDescent="0.35">
      <c r="A211" s="20" t="s">
        <v>481</v>
      </c>
      <c r="B211" s="15" t="s">
        <v>482</v>
      </c>
      <c r="C211" s="15" t="s">
        <v>3108</v>
      </c>
      <c r="D211" s="16" t="s">
        <v>73</v>
      </c>
      <c r="E211" s="15" t="s">
        <v>169</v>
      </c>
      <c r="F211" s="15" t="s">
        <v>170</v>
      </c>
      <c r="G211" s="17" t="str">
        <f t="shared" si="3"/>
        <v>Small</v>
      </c>
      <c r="H211" s="3">
        <v>4096</v>
      </c>
      <c r="I211" s="4">
        <v>54.2</v>
      </c>
      <c r="J211" s="5">
        <v>99816.142822265625</v>
      </c>
      <c r="K211" s="6">
        <v>2.9212914141036176E-3</v>
      </c>
      <c r="L211" s="5">
        <v>352.13427734375</v>
      </c>
      <c r="M211" s="5">
        <v>231.7666015625</v>
      </c>
      <c r="N211" s="11">
        <v>675.271240234375</v>
      </c>
      <c r="O211" s="13">
        <v>2024</v>
      </c>
    </row>
    <row r="212" spans="1:15" ht="14.5" customHeight="1" x14ac:dyDescent="0.35">
      <c r="A212" s="20" t="s">
        <v>483</v>
      </c>
      <c r="B212" s="15" t="s">
        <v>484</v>
      </c>
      <c r="C212" s="15" t="s">
        <v>3108</v>
      </c>
      <c r="D212" s="16" t="s">
        <v>13</v>
      </c>
      <c r="E212" s="15" t="s">
        <v>186</v>
      </c>
      <c r="F212" s="15" t="s">
        <v>170</v>
      </c>
      <c r="G212" s="17" t="str">
        <f t="shared" si="3"/>
        <v>Medium</v>
      </c>
      <c r="H212" s="3">
        <v>89877</v>
      </c>
      <c r="I212" s="4">
        <v>29.4</v>
      </c>
      <c r="J212" s="5">
        <v>87612.042469152293</v>
      </c>
      <c r="K212" s="6">
        <v>9.0644668916418179E-3</v>
      </c>
      <c r="L212" s="5">
        <v>950.43035481825166</v>
      </c>
      <c r="M212" s="5">
        <v>896.26813311525757</v>
      </c>
      <c r="N212" s="11">
        <v>1427.7078674188058</v>
      </c>
      <c r="O212" s="13">
        <v>2024</v>
      </c>
    </row>
    <row r="213" spans="1:15" ht="14.5" customHeight="1" x14ac:dyDescent="0.35">
      <c r="A213" s="20" t="s">
        <v>485</v>
      </c>
      <c r="B213" s="15" t="s">
        <v>24</v>
      </c>
      <c r="C213" s="15" t="s">
        <v>3108</v>
      </c>
      <c r="D213" s="16" t="s">
        <v>24</v>
      </c>
      <c r="E213" s="15" t="s">
        <v>173</v>
      </c>
      <c r="F213" s="15" t="s">
        <v>170</v>
      </c>
      <c r="G213" s="17" t="str">
        <f t="shared" si="3"/>
        <v>Small</v>
      </c>
      <c r="H213" s="3">
        <v>2358</v>
      </c>
      <c r="I213" s="4">
        <v>49.5</v>
      </c>
      <c r="J213" s="5">
        <v>75436.144614079734</v>
      </c>
      <c r="K213" s="6">
        <v>2.6548469235693553E-3</v>
      </c>
      <c r="L213" s="5">
        <v>451.71281594571661</v>
      </c>
      <c r="M213" s="5">
        <v>237.48939779474131</v>
      </c>
      <c r="N213" s="11">
        <v>999.75600508905859</v>
      </c>
      <c r="O213" s="13">
        <v>2024</v>
      </c>
    </row>
    <row r="214" spans="1:15" ht="14.5" customHeight="1" x14ac:dyDescent="0.35">
      <c r="A214" s="20" t="s">
        <v>486</v>
      </c>
      <c r="B214" s="15" t="s">
        <v>61</v>
      </c>
      <c r="C214" s="15" t="s">
        <v>3108</v>
      </c>
      <c r="D214" s="16" t="s">
        <v>11</v>
      </c>
      <c r="E214" s="15" t="s">
        <v>173</v>
      </c>
      <c r="F214" s="15" t="s">
        <v>170</v>
      </c>
      <c r="G214" s="17" t="str">
        <f t="shared" si="3"/>
        <v>Medium</v>
      </c>
      <c r="H214" s="3">
        <v>10959</v>
      </c>
      <c r="I214" s="4">
        <v>33.799999999999997</v>
      </c>
      <c r="J214" s="5">
        <v>87464.026279770056</v>
      </c>
      <c r="K214" s="6">
        <v>2.233634976411884E-3</v>
      </c>
      <c r="L214" s="5">
        <v>556.45940505520571</v>
      </c>
      <c r="M214" s="5">
        <v>758.194127201387</v>
      </c>
      <c r="N214" s="11">
        <v>1453.0721452687289</v>
      </c>
      <c r="O214" s="13">
        <v>2024</v>
      </c>
    </row>
    <row r="215" spans="1:15" ht="14.5" customHeight="1" x14ac:dyDescent="0.35">
      <c r="A215" s="20" t="s">
        <v>487</v>
      </c>
      <c r="B215" s="15" t="s">
        <v>488</v>
      </c>
      <c r="C215" s="15" t="s">
        <v>3108</v>
      </c>
      <c r="D215" s="16" t="s">
        <v>22</v>
      </c>
      <c r="E215" s="15" t="s">
        <v>186</v>
      </c>
      <c r="F215" s="15" t="s">
        <v>170</v>
      </c>
      <c r="G215" s="17" t="str">
        <f t="shared" si="3"/>
        <v>Small</v>
      </c>
      <c r="H215" s="3">
        <v>1037</v>
      </c>
      <c r="I215" s="4">
        <v>36.6</v>
      </c>
      <c r="J215" s="5">
        <v>86018.90838958534</v>
      </c>
      <c r="K215" s="6">
        <v>5.4832868035293719E-3</v>
      </c>
      <c r="L215" s="5">
        <v>818.77627772420442</v>
      </c>
      <c r="M215" s="5">
        <v>1719.6904532304725</v>
      </c>
      <c r="N215" s="11">
        <v>1995.7608486017357</v>
      </c>
      <c r="O215" s="13">
        <v>2024</v>
      </c>
    </row>
    <row r="216" spans="1:15" ht="14.5" customHeight="1" x14ac:dyDescent="0.35">
      <c r="A216" s="20" t="s">
        <v>489</v>
      </c>
      <c r="B216" s="15" t="s">
        <v>490</v>
      </c>
      <c r="C216" s="15" t="s">
        <v>3108</v>
      </c>
      <c r="D216" s="16" t="s">
        <v>69</v>
      </c>
      <c r="E216" s="15" t="s">
        <v>173</v>
      </c>
      <c r="F216" s="15" t="s">
        <v>170</v>
      </c>
      <c r="G216" s="17" t="str">
        <f t="shared" si="3"/>
        <v>Small</v>
      </c>
      <c r="H216" s="3">
        <v>1229</v>
      </c>
      <c r="I216" s="4">
        <v>40.4</v>
      </c>
      <c r="J216" s="5">
        <v>105905.23677786818</v>
      </c>
      <c r="K216" s="6">
        <v>7.7185849615346138E-3</v>
      </c>
      <c r="L216" s="5">
        <v>932.15947925142393</v>
      </c>
      <c r="M216" s="5">
        <v>187.1440195280716</v>
      </c>
      <c r="N216" s="11">
        <v>1913.2359641985354</v>
      </c>
      <c r="O216" s="13">
        <v>2024</v>
      </c>
    </row>
    <row r="217" spans="1:15" ht="14.5" customHeight="1" x14ac:dyDescent="0.35">
      <c r="A217" s="20" t="s">
        <v>491</v>
      </c>
      <c r="B217" s="15" t="s">
        <v>492</v>
      </c>
      <c r="C217" s="15" t="s">
        <v>3108</v>
      </c>
      <c r="D217" s="16" t="s">
        <v>53</v>
      </c>
      <c r="E217" s="15" t="s">
        <v>207</v>
      </c>
      <c r="F217" s="15" t="s">
        <v>208</v>
      </c>
      <c r="G217" s="17" t="str">
        <f t="shared" si="3"/>
        <v>Medium</v>
      </c>
      <c r="H217" s="3">
        <v>12646</v>
      </c>
      <c r="I217" s="4">
        <v>25.1</v>
      </c>
      <c r="J217" s="5">
        <v>171818.47517001422</v>
      </c>
      <c r="K217" s="6">
        <v>4.6071664543469214E-3</v>
      </c>
      <c r="L217" s="5">
        <v>1023.877668828088</v>
      </c>
      <c r="M217" s="5">
        <v>399.83243713427169</v>
      </c>
      <c r="N217" s="11">
        <v>1229.7512256840107</v>
      </c>
      <c r="O217" s="13">
        <v>2024</v>
      </c>
    </row>
    <row r="218" spans="1:15" ht="14.5" customHeight="1" x14ac:dyDescent="0.35">
      <c r="A218" s="20" t="s">
        <v>493</v>
      </c>
      <c r="B218" s="15" t="s">
        <v>492</v>
      </c>
      <c r="C218" s="15" t="s">
        <v>3108</v>
      </c>
      <c r="D218" s="16" t="s">
        <v>32</v>
      </c>
      <c r="E218" s="15" t="s">
        <v>217</v>
      </c>
      <c r="F218" s="15" t="s">
        <v>170</v>
      </c>
      <c r="G218" s="17" t="str">
        <f t="shared" si="3"/>
        <v>Small</v>
      </c>
      <c r="H218" s="3">
        <v>3086</v>
      </c>
      <c r="I218" s="4">
        <v>84.2</v>
      </c>
      <c r="J218" s="5">
        <v>272407.44264419959</v>
      </c>
      <c r="K218" s="6">
        <v>1.6045648296972254E-3</v>
      </c>
      <c r="L218" s="5">
        <v>1180.9907744653271</v>
      </c>
      <c r="M218" s="5">
        <v>74.762841866493844</v>
      </c>
      <c r="N218" s="11">
        <v>1763.5451847051199</v>
      </c>
      <c r="O218" s="13">
        <v>2024</v>
      </c>
    </row>
    <row r="219" spans="1:15" ht="14.5" customHeight="1" x14ac:dyDescent="0.35">
      <c r="A219" s="20" t="s">
        <v>494</v>
      </c>
      <c r="B219" s="15" t="s">
        <v>495</v>
      </c>
      <c r="C219" s="15" t="s">
        <v>3108</v>
      </c>
      <c r="D219" s="16" t="s">
        <v>496</v>
      </c>
      <c r="E219" s="15" t="s">
        <v>169</v>
      </c>
      <c r="F219" s="15" t="s">
        <v>170</v>
      </c>
      <c r="G219" s="17" t="str">
        <f t="shared" si="3"/>
        <v>Small</v>
      </c>
      <c r="H219" s="3">
        <v>2476</v>
      </c>
      <c r="I219" s="4">
        <v>79</v>
      </c>
      <c r="J219" s="5">
        <v>138950.21243941842</v>
      </c>
      <c r="K219" s="6">
        <v>4.2201887749766E-3</v>
      </c>
      <c r="L219" s="5">
        <v>800.68249192245548</v>
      </c>
      <c r="M219" s="5">
        <v>2960.3963489499192</v>
      </c>
      <c r="N219" s="11">
        <v>1358.4997455573507</v>
      </c>
      <c r="O219" s="13">
        <v>2024</v>
      </c>
    </row>
    <row r="220" spans="1:15" ht="14.5" customHeight="1" x14ac:dyDescent="0.35">
      <c r="A220" s="20" t="s">
        <v>497</v>
      </c>
      <c r="B220" s="15" t="s">
        <v>498</v>
      </c>
      <c r="C220" s="15" t="s">
        <v>3108</v>
      </c>
      <c r="D220" s="16" t="s">
        <v>79</v>
      </c>
      <c r="E220" s="15" t="s">
        <v>178</v>
      </c>
      <c r="F220" s="15" t="s">
        <v>170</v>
      </c>
      <c r="G220" s="17" t="str">
        <f t="shared" si="3"/>
        <v>Medium</v>
      </c>
      <c r="H220" s="3">
        <v>29123</v>
      </c>
      <c r="I220" s="4">
        <v>39.5</v>
      </c>
      <c r="J220" s="5">
        <v>97085.623390447407</v>
      </c>
      <c r="K220" s="6">
        <v>3.2992543698627565E-3</v>
      </c>
      <c r="L220" s="5">
        <v>497.30851903993408</v>
      </c>
      <c r="M220" s="5">
        <v>432.13267863887648</v>
      </c>
      <c r="N220" s="11">
        <v>680.76025821515645</v>
      </c>
      <c r="O220" s="13">
        <v>2024</v>
      </c>
    </row>
    <row r="221" spans="1:15" ht="14.5" customHeight="1" x14ac:dyDescent="0.35">
      <c r="A221" s="20" t="s">
        <v>499</v>
      </c>
      <c r="B221" s="15" t="s">
        <v>500</v>
      </c>
      <c r="C221" s="15" t="s">
        <v>3108</v>
      </c>
      <c r="D221" s="16" t="s">
        <v>89</v>
      </c>
      <c r="E221" s="15" t="s">
        <v>183</v>
      </c>
      <c r="F221" s="15" t="s">
        <v>170</v>
      </c>
      <c r="G221" s="17" t="str">
        <f t="shared" si="3"/>
        <v>Medium</v>
      </c>
      <c r="H221" s="3">
        <v>31435</v>
      </c>
      <c r="I221" s="4">
        <v>48.3</v>
      </c>
      <c r="J221" s="5">
        <v>106185.71942102752</v>
      </c>
      <c r="K221" s="6">
        <v>5.5552753907566008E-3</v>
      </c>
      <c r="L221" s="5">
        <v>625.10466200095425</v>
      </c>
      <c r="M221" s="5">
        <v>267.53618578018131</v>
      </c>
      <c r="N221" s="11">
        <v>828.35677047876561</v>
      </c>
      <c r="O221" s="13">
        <v>2024</v>
      </c>
    </row>
    <row r="222" spans="1:15" ht="14.5" customHeight="1" x14ac:dyDescent="0.35">
      <c r="A222" s="20" t="s">
        <v>501</v>
      </c>
      <c r="B222" s="15" t="s">
        <v>502</v>
      </c>
      <c r="C222" s="15" t="s">
        <v>3108</v>
      </c>
      <c r="D222" s="16" t="s">
        <v>20</v>
      </c>
      <c r="E222" s="15" t="s">
        <v>183</v>
      </c>
      <c r="F222" s="15" t="s">
        <v>170</v>
      </c>
      <c r="G222" s="17" t="str">
        <f t="shared" si="3"/>
        <v>Small</v>
      </c>
      <c r="H222" s="3">
        <v>902</v>
      </c>
      <c r="I222" s="4">
        <v>25.4</v>
      </c>
      <c r="J222" s="5">
        <v>79696.180709534368</v>
      </c>
      <c r="K222" s="6">
        <v>1.5632260849841946E-3</v>
      </c>
      <c r="L222" s="5">
        <v>500.96341463414632</v>
      </c>
      <c r="M222" s="5">
        <v>130.99556541019956</v>
      </c>
      <c r="N222" s="11">
        <v>824.3547671840355</v>
      </c>
      <c r="O222" s="13">
        <v>2024</v>
      </c>
    </row>
    <row r="223" spans="1:15" ht="14.5" customHeight="1" x14ac:dyDescent="0.35">
      <c r="A223" s="20" t="s">
        <v>503</v>
      </c>
      <c r="B223" s="15" t="s">
        <v>504</v>
      </c>
      <c r="C223" s="15" t="s">
        <v>3108</v>
      </c>
      <c r="D223" s="16" t="s">
        <v>63</v>
      </c>
      <c r="E223" s="15" t="s">
        <v>169</v>
      </c>
      <c r="F223" s="15" t="s">
        <v>170</v>
      </c>
      <c r="G223" s="17" t="str">
        <f t="shared" si="3"/>
        <v>Small</v>
      </c>
      <c r="H223" s="3">
        <v>100</v>
      </c>
      <c r="I223" s="4">
        <v>96.6</v>
      </c>
      <c r="J223" s="5">
        <v>513452.17</v>
      </c>
      <c r="K223" s="6" t="s">
        <v>27</v>
      </c>
      <c r="L223" s="5">
        <v>0</v>
      </c>
      <c r="M223" s="5">
        <v>0</v>
      </c>
      <c r="N223" s="11">
        <v>0</v>
      </c>
      <c r="O223" s="13">
        <v>2024</v>
      </c>
    </row>
    <row r="224" spans="1:15" ht="14.5" customHeight="1" x14ac:dyDescent="0.35">
      <c r="A224" s="20" t="s">
        <v>505</v>
      </c>
      <c r="B224" s="15" t="s">
        <v>506</v>
      </c>
      <c r="C224" s="15" t="s">
        <v>3108</v>
      </c>
      <c r="D224" s="16" t="s">
        <v>13</v>
      </c>
      <c r="E224" s="15" t="s">
        <v>186</v>
      </c>
      <c r="F224" s="15" t="s">
        <v>170</v>
      </c>
      <c r="G224" s="17" t="str">
        <f t="shared" si="3"/>
        <v>Medium</v>
      </c>
      <c r="H224" s="3">
        <v>32950</v>
      </c>
      <c r="I224" s="4">
        <v>53.5</v>
      </c>
      <c r="J224" s="5">
        <v>184809.52470409713</v>
      </c>
      <c r="K224" s="6">
        <v>2.3000842716979441E-3</v>
      </c>
      <c r="L224" s="5">
        <v>676.45775417298933</v>
      </c>
      <c r="M224" s="5">
        <v>1159.6358118361154</v>
      </c>
      <c r="N224" s="11">
        <v>1092.6512291350532</v>
      </c>
      <c r="O224" s="13">
        <v>2024</v>
      </c>
    </row>
    <row r="225" spans="1:15" ht="14.5" customHeight="1" x14ac:dyDescent="0.35">
      <c r="A225" s="20" t="s">
        <v>507</v>
      </c>
      <c r="B225" s="15" t="s">
        <v>508</v>
      </c>
      <c r="C225" s="15" t="s">
        <v>3108</v>
      </c>
      <c r="D225" s="16" t="s">
        <v>181</v>
      </c>
      <c r="E225" s="15" t="s">
        <v>178</v>
      </c>
      <c r="F225" s="15" t="s">
        <v>170</v>
      </c>
      <c r="G225" s="17" t="str">
        <f t="shared" si="3"/>
        <v>Small</v>
      </c>
      <c r="H225" s="3">
        <v>3315</v>
      </c>
      <c r="I225" s="4">
        <v>35.200000000000003</v>
      </c>
      <c r="J225" s="5">
        <v>69322.867571644048</v>
      </c>
      <c r="K225" s="6">
        <v>6.5041883758767518E-3</v>
      </c>
      <c r="L225" s="5">
        <v>488.96568929110106</v>
      </c>
      <c r="M225" s="5">
        <v>1550.2865761689291</v>
      </c>
      <c r="N225" s="11">
        <v>783.98030769230775</v>
      </c>
      <c r="O225" s="13">
        <v>2024</v>
      </c>
    </row>
    <row r="226" spans="1:15" ht="14.5" customHeight="1" x14ac:dyDescent="0.35">
      <c r="A226" s="20" t="s">
        <v>509</v>
      </c>
      <c r="B226" s="15" t="s">
        <v>510</v>
      </c>
      <c r="C226" s="15" t="s">
        <v>3108</v>
      </c>
      <c r="D226" s="16" t="s">
        <v>79</v>
      </c>
      <c r="E226" s="15" t="s">
        <v>178</v>
      </c>
      <c r="F226" s="15" t="s">
        <v>170</v>
      </c>
      <c r="G226" s="17" t="str">
        <f t="shared" si="3"/>
        <v>Small</v>
      </c>
      <c r="H226" s="3">
        <v>6904</v>
      </c>
      <c r="I226" s="4">
        <v>33.200000000000003</v>
      </c>
      <c r="J226" s="5">
        <v>78815.157300115869</v>
      </c>
      <c r="K226" s="6">
        <v>2.8103657749776333E-3</v>
      </c>
      <c r="L226" s="5">
        <v>383.27838933951335</v>
      </c>
      <c r="M226" s="5">
        <v>791.00355735805329</v>
      </c>
      <c r="N226" s="11">
        <v>817.4817497103129</v>
      </c>
      <c r="O226" s="13">
        <v>2024</v>
      </c>
    </row>
    <row r="227" spans="1:15" ht="14.5" customHeight="1" x14ac:dyDescent="0.35">
      <c r="A227" s="20" t="s">
        <v>511</v>
      </c>
      <c r="B227" s="15" t="s">
        <v>512</v>
      </c>
      <c r="C227" s="15" t="s">
        <v>3108</v>
      </c>
      <c r="D227" s="16" t="s">
        <v>513</v>
      </c>
      <c r="E227" s="15" t="s">
        <v>207</v>
      </c>
      <c r="F227" s="15" t="s">
        <v>208</v>
      </c>
      <c r="G227" s="17" t="str">
        <f t="shared" si="3"/>
        <v>Medium</v>
      </c>
      <c r="H227" s="3">
        <v>86855</v>
      </c>
      <c r="I227" s="4">
        <v>38.5</v>
      </c>
      <c r="J227" s="5">
        <v>200523.71872661333</v>
      </c>
      <c r="K227" s="6">
        <v>7.0306566331035988E-3</v>
      </c>
      <c r="L227" s="5">
        <v>1491.7967762362559</v>
      </c>
      <c r="M227" s="5">
        <v>1603.7552242242818</v>
      </c>
      <c r="N227" s="11">
        <v>2281.3207644925451</v>
      </c>
      <c r="O227" s="13">
        <v>2024</v>
      </c>
    </row>
    <row r="228" spans="1:15" ht="14.5" customHeight="1" x14ac:dyDescent="0.35">
      <c r="A228" s="20" t="s">
        <v>514</v>
      </c>
      <c r="B228" s="15" t="s">
        <v>515</v>
      </c>
      <c r="C228" s="15" t="s">
        <v>3108</v>
      </c>
      <c r="D228" s="16" t="s">
        <v>193</v>
      </c>
      <c r="E228" s="15" t="s">
        <v>186</v>
      </c>
      <c r="F228" s="15" t="s">
        <v>170</v>
      </c>
      <c r="G228" s="17" t="str">
        <f t="shared" si="3"/>
        <v>Small</v>
      </c>
      <c r="H228" s="3">
        <v>976</v>
      </c>
      <c r="I228" s="4">
        <v>36.299999999999997</v>
      </c>
      <c r="J228" s="5">
        <v>85871.731557377047</v>
      </c>
      <c r="K228" s="6">
        <v>7.125632123111565E-3</v>
      </c>
      <c r="L228" s="5">
        <v>618.76534836065571</v>
      </c>
      <c r="M228" s="5">
        <v>0</v>
      </c>
      <c r="N228" s="11">
        <v>715.57887295081969</v>
      </c>
      <c r="O228" s="13">
        <v>2024</v>
      </c>
    </row>
    <row r="229" spans="1:15" ht="14.5" customHeight="1" x14ac:dyDescent="0.35">
      <c r="A229" s="20" t="s">
        <v>516</v>
      </c>
      <c r="B229" s="15" t="s">
        <v>517</v>
      </c>
      <c r="C229" s="15" t="s">
        <v>3108</v>
      </c>
      <c r="D229" s="16" t="s">
        <v>37</v>
      </c>
      <c r="E229" s="15" t="s">
        <v>217</v>
      </c>
      <c r="F229" s="15" t="s">
        <v>170</v>
      </c>
      <c r="G229" s="17" t="str">
        <f t="shared" si="3"/>
        <v>Small</v>
      </c>
      <c r="H229" s="3">
        <v>6058</v>
      </c>
      <c r="I229" s="4">
        <v>47.6</v>
      </c>
      <c r="J229" s="5">
        <v>170354.82717068339</v>
      </c>
      <c r="K229" s="6">
        <v>8.4527997431512131E-4</v>
      </c>
      <c r="L229" s="5">
        <v>412.93116540112248</v>
      </c>
      <c r="M229" s="5">
        <v>398.37577253218888</v>
      </c>
      <c r="N229" s="11">
        <v>645.41928029052497</v>
      </c>
      <c r="O229" s="13">
        <v>2024</v>
      </c>
    </row>
    <row r="230" spans="1:15" ht="14.5" customHeight="1" x14ac:dyDescent="0.35">
      <c r="A230" s="20" t="s">
        <v>518</v>
      </c>
      <c r="B230" s="15" t="s">
        <v>519</v>
      </c>
      <c r="C230" s="15" t="s">
        <v>3108</v>
      </c>
      <c r="D230" s="16" t="s">
        <v>89</v>
      </c>
      <c r="E230" s="15" t="s">
        <v>183</v>
      </c>
      <c r="F230" s="15" t="s">
        <v>170</v>
      </c>
      <c r="G230" s="17" t="str">
        <f t="shared" si="3"/>
        <v>Medium</v>
      </c>
      <c r="H230" s="3">
        <v>60527</v>
      </c>
      <c r="I230" s="4">
        <v>48</v>
      </c>
      <c r="J230" s="5">
        <v>87018.571117022162</v>
      </c>
      <c r="K230" s="6">
        <v>4.6465341191396191E-3</v>
      </c>
      <c r="L230" s="5">
        <v>425.68273662993374</v>
      </c>
      <c r="M230" s="5">
        <v>27.838815735126474</v>
      </c>
      <c r="N230" s="11">
        <v>628.16600855816409</v>
      </c>
      <c r="O230" s="13">
        <v>2024</v>
      </c>
    </row>
    <row r="231" spans="1:15" ht="14.5" customHeight="1" x14ac:dyDescent="0.35">
      <c r="A231" s="20" t="s">
        <v>520</v>
      </c>
      <c r="B231" s="15" t="s">
        <v>521</v>
      </c>
      <c r="C231" s="15" t="s">
        <v>3108</v>
      </c>
      <c r="D231" s="16" t="s">
        <v>94</v>
      </c>
      <c r="E231" s="15" t="s">
        <v>169</v>
      </c>
      <c r="F231" s="15" t="s">
        <v>170</v>
      </c>
      <c r="G231" s="17" t="str">
        <f t="shared" si="3"/>
        <v>Small</v>
      </c>
      <c r="H231" s="3">
        <v>4770</v>
      </c>
      <c r="I231" s="4">
        <v>82.4</v>
      </c>
      <c r="J231" s="5">
        <v>224069.37106918238</v>
      </c>
      <c r="K231" s="6">
        <v>1.1349163823086011E-3</v>
      </c>
      <c r="L231" s="5">
        <v>832.44025157232704</v>
      </c>
      <c r="M231" s="5">
        <v>1035.6813417190776</v>
      </c>
      <c r="N231" s="11">
        <v>1340.4123689727464</v>
      </c>
      <c r="O231" s="13">
        <v>2024</v>
      </c>
    </row>
    <row r="232" spans="1:15" ht="14.5" customHeight="1" x14ac:dyDescent="0.35">
      <c r="A232" s="20" t="s">
        <v>522</v>
      </c>
      <c r="B232" s="15" t="s">
        <v>523</v>
      </c>
      <c r="C232" s="15" t="s">
        <v>3108</v>
      </c>
      <c r="D232" s="16" t="s">
        <v>37</v>
      </c>
      <c r="E232" s="15" t="s">
        <v>217</v>
      </c>
      <c r="F232" s="15" t="s">
        <v>170</v>
      </c>
      <c r="G232" s="17" t="str">
        <f t="shared" si="3"/>
        <v>Small</v>
      </c>
      <c r="H232" s="3">
        <v>2058</v>
      </c>
      <c r="I232" s="4">
        <v>18</v>
      </c>
      <c r="J232" s="5">
        <v>197891.6671525753</v>
      </c>
      <c r="K232" s="6" t="s">
        <v>27</v>
      </c>
      <c r="L232" s="5">
        <v>0</v>
      </c>
      <c r="M232" s="5">
        <v>0</v>
      </c>
      <c r="N232" s="11">
        <v>0</v>
      </c>
      <c r="O232" s="13">
        <v>2024</v>
      </c>
    </row>
    <row r="233" spans="1:15" ht="14.5" customHeight="1" x14ac:dyDescent="0.35">
      <c r="A233" s="20" t="s">
        <v>524</v>
      </c>
      <c r="B233" s="15" t="s">
        <v>525</v>
      </c>
      <c r="C233" s="15" t="s">
        <v>3108</v>
      </c>
      <c r="D233" s="16" t="s">
        <v>63</v>
      </c>
      <c r="E233" s="15" t="s">
        <v>169</v>
      </c>
      <c r="F233" s="15" t="s">
        <v>170</v>
      </c>
      <c r="G233" s="17" t="str">
        <f t="shared" si="3"/>
        <v>Small</v>
      </c>
      <c r="H233" s="3">
        <v>675</v>
      </c>
      <c r="I233" s="4">
        <v>134.4</v>
      </c>
      <c r="J233" s="5">
        <v>371395.9614814815</v>
      </c>
      <c r="K233" s="6">
        <v>3.6118464504414681E-3</v>
      </c>
      <c r="L233" s="5">
        <v>2252.0675999999999</v>
      </c>
      <c r="M233" s="5">
        <v>2261.9760740740744</v>
      </c>
      <c r="N233" s="11">
        <v>2455.0718814814813</v>
      </c>
      <c r="O233" s="13">
        <v>2024</v>
      </c>
    </row>
    <row r="234" spans="1:15" ht="14.5" customHeight="1" x14ac:dyDescent="0.35">
      <c r="A234" s="20" t="s">
        <v>526</v>
      </c>
      <c r="B234" s="15" t="s">
        <v>527</v>
      </c>
      <c r="C234" s="15" t="s">
        <v>3108</v>
      </c>
      <c r="D234" s="16" t="s">
        <v>51</v>
      </c>
      <c r="E234" s="15" t="s">
        <v>217</v>
      </c>
      <c r="F234" s="15" t="s">
        <v>170</v>
      </c>
      <c r="G234" s="17" t="str">
        <f t="shared" si="3"/>
        <v>Medium</v>
      </c>
      <c r="H234" s="3">
        <v>38029</v>
      </c>
      <c r="I234" s="4">
        <v>48.2</v>
      </c>
      <c r="J234" s="5">
        <v>167511.55757448263</v>
      </c>
      <c r="K234" s="6">
        <v>6.8308070789935597E-4</v>
      </c>
      <c r="L234" s="5">
        <v>588.27444844723766</v>
      </c>
      <c r="M234" s="5">
        <v>213.40942622735281</v>
      </c>
      <c r="N234" s="11">
        <v>897.92887322832564</v>
      </c>
      <c r="O234" s="13">
        <v>2024</v>
      </c>
    </row>
    <row r="235" spans="1:15" ht="14.5" customHeight="1" x14ac:dyDescent="0.35">
      <c r="A235" s="20" t="s">
        <v>528</v>
      </c>
      <c r="B235" s="15" t="s">
        <v>73</v>
      </c>
      <c r="C235" s="15" t="s">
        <v>3108</v>
      </c>
      <c r="D235" s="16" t="s">
        <v>73</v>
      </c>
      <c r="E235" s="15" t="s">
        <v>169</v>
      </c>
      <c r="F235" s="15" t="s">
        <v>170</v>
      </c>
      <c r="G235" s="17" t="str">
        <f t="shared" si="3"/>
        <v>Small</v>
      </c>
      <c r="H235" s="3">
        <v>652</v>
      </c>
      <c r="I235" s="4">
        <v>67.099999999999994</v>
      </c>
      <c r="J235" s="5">
        <v>143696.84355828221</v>
      </c>
      <c r="K235" s="6">
        <v>5.1415865255353644E-3</v>
      </c>
      <c r="L235" s="5">
        <v>1404.5976380368099</v>
      </c>
      <c r="M235" s="5">
        <v>0</v>
      </c>
      <c r="N235" s="11">
        <v>3580.7233588957051</v>
      </c>
      <c r="O235" s="13">
        <v>2024</v>
      </c>
    </row>
    <row r="236" spans="1:15" ht="14.5" customHeight="1" x14ac:dyDescent="0.35">
      <c r="A236" s="20" t="s">
        <v>529</v>
      </c>
      <c r="B236" s="15" t="s">
        <v>73</v>
      </c>
      <c r="C236" s="15" t="s">
        <v>3108</v>
      </c>
      <c r="D236" s="16" t="s">
        <v>9</v>
      </c>
      <c r="E236" s="15" t="s">
        <v>207</v>
      </c>
      <c r="F236" s="15" t="s">
        <v>208</v>
      </c>
      <c r="G236" s="17" t="str">
        <f t="shared" si="3"/>
        <v>Small</v>
      </c>
      <c r="H236" s="3">
        <v>4037</v>
      </c>
      <c r="I236" s="4">
        <v>38.1</v>
      </c>
      <c r="J236" s="5">
        <v>273070.03393609117</v>
      </c>
      <c r="K236" s="6">
        <v>1.7377188660187832E-3</v>
      </c>
      <c r="L236" s="5">
        <v>599.02576170423583</v>
      </c>
      <c r="M236" s="5">
        <v>99.61332672776814</v>
      </c>
      <c r="N236" s="11">
        <v>888.13529848897701</v>
      </c>
      <c r="O236" s="13">
        <v>2024</v>
      </c>
    </row>
    <row r="237" spans="1:15" ht="14.5" customHeight="1" x14ac:dyDescent="0.35">
      <c r="A237" s="20" t="s">
        <v>530</v>
      </c>
      <c r="B237" s="15" t="s">
        <v>531</v>
      </c>
      <c r="C237" s="15" t="s">
        <v>3108</v>
      </c>
      <c r="D237" s="16" t="s">
        <v>22</v>
      </c>
      <c r="E237" s="15" t="s">
        <v>186</v>
      </c>
      <c r="F237" s="15" t="s">
        <v>170</v>
      </c>
      <c r="G237" s="17" t="str">
        <f t="shared" si="3"/>
        <v>Small</v>
      </c>
      <c r="H237" s="3">
        <v>1753</v>
      </c>
      <c r="I237" s="4">
        <v>36.1</v>
      </c>
      <c r="J237" s="5">
        <v>59764.940673131772</v>
      </c>
      <c r="K237" s="6">
        <v>4.8280397149353168E-3</v>
      </c>
      <c r="L237" s="5">
        <v>533.49152310325155</v>
      </c>
      <c r="M237" s="5">
        <v>696.5202509982887</v>
      </c>
      <c r="N237" s="11">
        <v>1018.19303479749</v>
      </c>
      <c r="O237" s="13">
        <v>2024</v>
      </c>
    </row>
    <row r="238" spans="1:15" ht="14.5" customHeight="1" x14ac:dyDescent="0.35">
      <c r="A238" s="20" t="s">
        <v>532</v>
      </c>
      <c r="B238" s="15" t="s">
        <v>533</v>
      </c>
      <c r="C238" s="15" t="s">
        <v>3108</v>
      </c>
      <c r="D238" s="16" t="s">
        <v>338</v>
      </c>
      <c r="E238" s="15" t="s">
        <v>214</v>
      </c>
      <c r="F238" s="15" t="s">
        <v>170</v>
      </c>
      <c r="G238" s="17" t="str">
        <f t="shared" si="3"/>
        <v>Small</v>
      </c>
      <c r="H238" s="3">
        <v>6086</v>
      </c>
      <c r="I238" s="4">
        <v>30.6</v>
      </c>
      <c r="J238" s="5">
        <v>74086.726585606317</v>
      </c>
      <c r="K238" s="6" t="s">
        <v>27</v>
      </c>
      <c r="L238" s="5">
        <v>0</v>
      </c>
      <c r="M238" s="5">
        <v>0</v>
      </c>
      <c r="N238" s="11">
        <v>0</v>
      </c>
      <c r="O238" s="13">
        <v>2024</v>
      </c>
    </row>
    <row r="239" spans="1:15" ht="14.5" customHeight="1" x14ac:dyDescent="0.35">
      <c r="A239" s="20" t="s">
        <v>534</v>
      </c>
      <c r="B239" s="15" t="s">
        <v>535</v>
      </c>
      <c r="C239" s="15" t="s">
        <v>3108</v>
      </c>
      <c r="D239" s="16" t="s">
        <v>324</v>
      </c>
      <c r="E239" s="15" t="s">
        <v>207</v>
      </c>
      <c r="F239" s="15" t="s">
        <v>208</v>
      </c>
      <c r="G239" s="17" t="str">
        <f t="shared" si="3"/>
        <v>Small</v>
      </c>
      <c r="H239" s="3">
        <v>1448</v>
      </c>
      <c r="I239" s="4">
        <v>36.200000000000003</v>
      </c>
      <c r="J239" s="5">
        <v>230410.20096685083</v>
      </c>
      <c r="K239" s="6">
        <v>3.7497170814179475E-3</v>
      </c>
      <c r="L239" s="5">
        <v>910.10704419889498</v>
      </c>
      <c r="M239" s="5">
        <v>0</v>
      </c>
      <c r="N239" s="11">
        <v>1244.4620165745857</v>
      </c>
      <c r="O239" s="13">
        <v>2024</v>
      </c>
    </row>
    <row r="240" spans="1:15" ht="14.5" customHeight="1" x14ac:dyDescent="0.35">
      <c r="A240" s="20" t="s">
        <v>536</v>
      </c>
      <c r="B240" s="15" t="s">
        <v>537</v>
      </c>
      <c r="C240" s="15" t="s">
        <v>3108</v>
      </c>
      <c r="D240" s="16" t="s">
        <v>1</v>
      </c>
      <c r="E240" s="15" t="s">
        <v>217</v>
      </c>
      <c r="F240" s="15" t="s">
        <v>170</v>
      </c>
      <c r="G240" s="17" t="str">
        <f t="shared" si="3"/>
        <v>Small</v>
      </c>
      <c r="H240" s="3">
        <v>7256</v>
      </c>
      <c r="I240" s="4">
        <v>50.1</v>
      </c>
      <c r="J240" s="5">
        <v>100389.19873208379</v>
      </c>
      <c r="K240" s="6">
        <v>2.3277203654454965E-3</v>
      </c>
      <c r="L240" s="5">
        <v>605.46834619625133</v>
      </c>
      <c r="M240" s="5">
        <v>171.32701626240353</v>
      </c>
      <c r="N240" s="11">
        <v>1045.6410336273429</v>
      </c>
      <c r="O240" s="13">
        <v>2024</v>
      </c>
    </row>
    <row r="241" spans="1:15" ht="14.5" customHeight="1" x14ac:dyDescent="0.35">
      <c r="A241" s="20" t="s">
        <v>538</v>
      </c>
      <c r="B241" s="15" t="s">
        <v>539</v>
      </c>
      <c r="C241" s="15" t="s">
        <v>3108</v>
      </c>
      <c r="D241" s="16" t="s">
        <v>18</v>
      </c>
      <c r="E241" s="15" t="s">
        <v>173</v>
      </c>
      <c r="F241" s="15" t="s">
        <v>170</v>
      </c>
      <c r="G241" s="17" t="str">
        <f t="shared" si="3"/>
        <v>Small</v>
      </c>
      <c r="H241" s="3">
        <v>2269</v>
      </c>
      <c r="I241" s="4">
        <v>56.1</v>
      </c>
      <c r="J241" s="5">
        <v>73610.656676950195</v>
      </c>
      <c r="K241" s="6">
        <v>7.6441460789313633E-3</v>
      </c>
      <c r="L241" s="5">
        <v>946.01586602027328</v>
      </c>
      <c r="M241" s="5">
        <v>0</v>
      </c>
      <c r="N241" s="11">
        <v>1316.2300572939621</v>
      </c>
      <c r="O241" s="13">
        <v>2024</v>
      </c>
    </row>
    <row r="242" spans="1:15" ht="14.5" customHeight="1" x14ac:dyDescent="0.35">
      <c r="A242" s="20" t="s">
        <v>540</v>
      </c>
      <c r="B242" s="15" t="s">
        <v>541</v>
      </c>
      <c r="C242" s="15" t="s">
        <v>3108</v>
      </c>
      <c r="D242" s="16" t="s">
        <v>220</v>
      </c>
      <c r="E242" s="15" t="s">
        <v>173</v>
      </c>
      <c r="F242" s="15" t="s">
        <v>170</v>
      </c>
      <c r="G242" s="17" t="str">
        <f t="shared" si="3"/>
        <v>Small</v>
      </c>
      <c r="H242" s="3">
        <v>1782</v>
      </c>
      <c r="I242" s="4">
        <v>136.80000000000001</v>
      </c>
      <c r="J242" s="5">
        <v>610040.19696969702</v>
      </c>
      <c r="K242" s="6">
        <v>2.3515864965756505E-3</v>
      </c>
      <c r="L242" s="5">
        <v>1444.3406285072952</v>
      </c>
      <c r="M242" s="5">
        <v>198.72053872053871</v>
      </c>
      <c r="N242" s="11">
        <v>3432.5381593714928</v>
      </c>
      <c r="O242" s="13">
        <v>2024</v>
      </c>
    </row>
    <row r="243" spans="1:15" ht="14.5" customHeight="1" x14ac:dyDescent="0.35">
      <c r="A243" s="20" t="s">
        <v>542</v>
      </c>
      <c r="B243" s="15" t="s">
        <v>543</v>
      </c>
      <c r="C243" s="15" t="s">
        <v>3108</v>
      </c>
      <c r="D243" s="16" t="s">
        <v>13</v>
      </c>
      <c r="E243" s="15" t="s">
        <v>186</v>
      </c>
      <c r="F243" s="15" t="s">
        <v>170</v>
      </c>
      <c r="G243" s="17" t="str">
        <f t="shared" si="3"/>
        <v>Small</v>
      </c>
      <c r="H243" s="3">
        <v>3121</v>
      </c>
      <c r="I243" s="4">
        <v>35.6</v>
      </c>
      <c r="J243" s="5">
        <v>146749.72540852291</v>
      </c>
      <c r="K243" s="6">
        <v>2.2687580135568259E-3</v>
      </c>
      <c r="L243" s="5">
        <v>595.89757769945538</v>
      </c>
      <c r="M243" s="5">
        <v>362.01826337712271</v>
      </c>
      <c r="N243" s="11">
        <v>874.34132970201858</v>
      </c>
      <c r="O243" s="13">
        <v>2024</v>
      </c>
    </row>
    <row r="244" spans="1:15" ht="14.5" customHeight="1" x14ac:dyDescent="0.35">
      <c r="A244" s="20" t="s">
        <v>544</v>
      </c>
      <c r="B244" s="15" t="s">
        <v>545</v>
      </c>
      <c r="C244" s="15" t="s">
        <v>3108</v>
      </c>
      <c r="D244" s="16" t="s">
        <v>65</v>
      </c>
      <c r="E244" s="15" t="s">
        <v>186</v>
      </c>
      <c r="F244" s="15" t="s">
        <v>170</v>
      </c>
      <c r="G244" s="17" t="str">
        <f t="shared" si="3"/>
        <v>Small</v>
      </c>
      <c r="H244" s="3">
        <v>658</v>
      </c>
      <c r="I244" s="4">
        <v>51.5</v>
      </c>
      <c r="J244" s="5">
        <v>142057.99544072949</v>
      </c>
      <c r="K244" s="6">
        <v>1.8412147074526831E-3</v>
      </c>
      <c r="L244" s="5">
        <v>661.31762917933133</v>
      </c>
      <c r="M244" s="5">
        <v>0</v>
      </c>
      <c r="N244" s="11">
        <v>1142.288753799392</v>
      </c>
      <c r="O244" s="13">
        <v>2024</v>
      </c>
    </row>
    <row r="245" spans="1:15" ht="14.5" customHeight="1" x14ac:dyDescent="0.35">
      <c r="A245" s="20" t="s">
        <v>546</v>
      </c>
      <c r="B245" s="15" t="s">
        <v>547</v>
      </c>
      <c r="C245" s="15" t="s">
        <v>3108</v>
      </c>
      <c r="D245" s="16" t="s">
        <v>11</v>
      </c>
      <c r="E245" s="15" t="s">
        <v>173</v>
      </c>
      <c r="F245" s="15" t="s">
        <v>170</v>
      </c>
      <c r="G245" s="17" t="str">
        <f t="shared" si="3"/>
        <v>Small</v>
      </c>
      <c r="H245" s="3">
        <v>4868</v>
      </c>
      <c r="I245" s="4">
        <v>78.400000000000006</v>
      </c>
      <c r="J245" s="5">
        <v>70914.48233360723</v>
      </c>
      <c r="K245" s="6">
        <v>3.2548288485007896E-3</v>
      </c>
      <c r="L245" s="5">
        <v>588.95953163516845</v>
      </c>
      <c r="M245" s="5">
        <v>0</v>
      </c>
      <c r="N245" s="11">
        <v>611.0770336894002</v>
      </c>
      <c r="O245" s="13">
        <v>2024</v>
      </c>
    </row>
    <row r="246" spans="1:15" ht="14.5" customHeight="1" x14ac:dyDescent="0.35">
      <c r="A246" s="20" t="s">
        <v>548</v>
      </c>
      <c r="B246" s="15" t="s">
        <v>549</v>
      </c>
      <c r="C246" s="15" t="s">
        <v>3108</v>
      </c>
      <c r="D246" s="16" t="s">
        <v>13</v>
      </c>
      <c r="E246" s="15" t="s">
        <v>186</v>
      </c>
      <c r="F246" s="15" t="s">
        <v>170</v>
      </c>
      <c r="G246" s="17" t="str">
        <f t="shared" si="3"/>
        <v>Small</v>
      </c>
      <c r="H246" s="3">
        <v>5894</v>
      </c>
      <c r="I246" s="4">
        <v>48</v>
      </c>
      <c r="J246" s="5">
        <v>65253.41262300645</v>
      </c>
      <c r="K246" s="6">
        <v>1.961149018220094E-3</v>
      </c>
      <c r="L246" s="5">
        <v>250.711231761113</v>
      </c>
      <c r="M246" s="5">
        <v>117.9165252799457</v>
      </c>
      <c r="N246" s="11">
        <v>580.90413980318965</v>
      </c>
      <c r="O246" s="13">
        <v>2024</v>
      </c>
    </row>
    <row r="247" spans="1:15" ht="14.5" customHeight="1" x14ac:dyDescent="0.35">
      <c r="A247" s="20" t="s">
        <v>550</v>
      </c>
      <c r="B247" s="15" t="s">
        <v>551</v>
      </c>
      <c r="C247" s="15" t="s">
        <v>3108</v>
      </c>
      <c r="D247" s="16" t="s">
        <v>1</v>
      </c>
      <c r="E247" s="15" t="s">
        <v>217</v>
      </c>
      <c r="F247" s="15" t="s">
        <v>170</v>
      </c>
      <c r="G247" s="17" t="str">
        <f t="shared" si="3"/>
        <v>Medium</v>
      </c>
      <c r="H247" s="3">
        <v>85590</v>
      </c>
      <c r="I247" s="4">
        <v>55.9</v>
      </c>
      <c r="J247" s="5">
        <v>143727.22347236826</v>
      </c>
      <c r="K247" s="6">
        <v>2.7763239537570835E-3</v>
      </c>
      <c r="L247" s="5">
        <v>967.44536744946845</v>
      </c>
      <c r="M247" s="5">
        <v>1601.5571094754059</v>
      </c>
      <c r="N247" s="11">
        <v>1687.5826615258793</v>
      </c>
      <c r="O247" s="13">
        <v>2024</v>
      </c>
    </row>
    <row r="248" spans="1:15" ht="14.5" customHeight="1" x14ac:dyDescent="0.35">
      <c r="A248" s="20" t="s">
        <v>552</v>
      </c>
      <c r="B248" s="15" t="s">
        <v>553</v>
      </c>
      <c r="C248" s="15" t="s">
        <v>3108</v>
      </c>
      <c r="D248" s="16" t="s">
        <v>63</v>
      </c>
      <c r="E248" s="15" t="s">
        <v>169</v>
      </c>
      <c r="F248" s="15" t="s">
        <v>170</v>
      </c>
      <c r="G248" s="17" t="str">
        <f t="shared" si="3"/>
        <v>Small</v>
      </c>
      <c r="H248" s="3">
        <v>1530</v>
      </c>
      <c r="I248" s="4">
        <v>241.7</v>
      </c>
      <c r="J248" s="5">
        <v>281516.23529411765</v>
      </c>
      <c r="K248" s="6">
        <v>4.3021700602414786E-3</v>
      </c>
      <c r="L248" s="5">
        <v>2067.7617254901966</v>
      </c>
      <c r="M248" s="5">
        <v>148.87425490196077</v>
      </c>
      <c r="N248" s="11">
        <v>3046.0441633986929</v>
      </c>
      <c r="O248" s="13">
        <v>2024</v>
      </c>
    </row>
    <row r="249" spans="1:15" ht="14.5" customHeight="1" x14ac:dyDescent="0.35">
      <c r="A249" s="20" t="s">
        <v>554</v>
      </c>
      <c r="B249" s="15" t="s">
        <v>37</v>
      </c>
      <c r="C249" s="15" t="s">
        <v>3108</v>
      </c>
      <c r="D249" s="16" t="s">
        <v>46</v>
      </c>
      <c r="E249" s="15" t="s">
        <v>214</v>
      </c>
      <c r="F249" s="15" t="s">
        <v>170</v>
      </c>
      <c r="G249" s="17" t="str">
        <f t="shared" si="3"/>
        <v>Small</v>
      </c>
      <c r="H249" s="3">
        <v>1569</v>
      </c>
      <c r="I249" s="4">
        <v>35.1</v>
      </c>
      <c r="J249" s="5">
        <v>77182.669216061186</v>
      </c>
      <c r="K249" s="6">
        <v>3.4914647287710462E-3</v>
      </c>
      <c r="L249" s="5">
        <v>425.28033779477374</v>
      </c>
      <c r="M249" s="5">
        <v>66.180274059910772</v>
      </c>
      <c r="N249" s="11">
        <v>772.61202039515615</v>
      </c>
      <c r="O249" s="13">
        <v>2024</v>
      </c>
    </row>
    <row r="250" spans="1:15" ht="14.5" customHeight="1" x14ac:dyDescent="0.35">
      <c r="A250" s="20" t="s">
        <v>555</v>
      </c>
      <c r="B250" s="15" t="s">
        <v>556</v>
      </c>
      <c r="C250" s="15" t="s">
        <v>3108</v>
      </c>
      <c r="D250" s="16" t="s">
        <v>61</v>
      </c>
      <c r="E250" s="15" t="s">
        <v>173</v>
      </c>
      <c r="F250" s="15" t="s">
        <v>170</v>
      </c>
      <c r="G250" s="17" t="str">
        <f t="shared" si="3"/>
        <v>Small</v>
      </c>
      <c r="H250" s="3">
        <v>898</v>
      </c>
      <c r="I250" s="4">
        <v>37.4</v>
      </c>
      <c r="J250" s="5">
        <v>117008.57572383074</v>
      </c>
      <c r="K250" s="6">
        <v>5.1786888138640888E-3</v>
      </c>
      <c r="L250" s="5">
        <v>975.64448775055678</v>
      </c>
      <c r="M250" s="5">
        <v>0</v>
      </c>
      <c r="N250" s="11">
        <v>1421.8712583518929</v>
      </c>
      <c r="O250" s="13">
        <v>2024</v>
      </c>
    </row>
    <row r="251" spans="1:15" ht="14.5" customHeight="1" x14ac:dyDescent="0.35">
      <c r="A251" s="20" t="s">
        <v>557</v>
      </c>
      <c r="B251" s="15" t="s">
        <v>558</v>
      </c>
      <c r="C251" s="15" t="s">
        <v>3108</v>
      </c>
      <c r="D251" s="16" t="s">
        <v>13</v>
      </c>
      <c r="E251" s="15" t="s">
        <v>186</v>
      </c>
      <c r="F251" s="15" t="s">
        <v>170</v>
      </c>
      <c r="G251" s="17" t="str">
        <f t="shared" si="3"/>
        <v>Small</v>
      </c>
      <c r="H251" s="3">
        <v>8316</v>
      </c>
      <c r="I251" s="4">
        <v>69.900000000000006</v>
      </c>
      <c r="J251" s="5">
        <v>102811.3189033189</v>
      </c>
      <c r="K251" s="6">
        <v>2.7914910202324894E-3</v>
      </c>
      <c r="L251" s="5">
        <v>397.34006734006732</v>
      </c>
      <c r="M251" s="5">
        <v>211.15211640211641</v>
      </c>
      <c r="N251" s="11">
        <v>520.1732804232804</v>
      </c>
      <c r="O251" s="13">
        <v>2024</v>
      </c>
    </row>
    <row r="252" spans="1:15" ht="14.5" customHeight="1" x14ac:dyDescent="0.35">
      <c r="A252" s="20" t="s">
        <v>559</v>
      </c>
      <c r="B252" s="15" t="s">
        <v>560</v>
      </c>
      <c r="C252" s="15" t="s">
        <v>3108</v>
      </c>
      <c r="D252" s="16" t="s">
        <v>269</v>
      </c>
      <c r="E252" s="15" t="s">
        <v>178</v>
      </c>
      <c r="F252" s="15" t="s">
        <v>170</v>
      </c>
      <c r="G252" s="17" t="str">
        <f t="shared" si="3"/>
        <v>Small</v>
      </c>
      <c r="H252" s="3">
        <v>2320</v>
      </c>
      <c r="I252" s="4">
        <v>32.9</v>
      </c>
      <c r="J252" s="5">
        <v>112386.99353448275</v>
      </c>
      <c r="K252" s="6">
        <v>6.2585741060009227E-3</v>
      </c>
      <c r="L252" s="5">
        <v>790.30258620689654</v>
      </c>
      <c r="M252" s="5">
        <v>0</v>
      </c>
      <c r="N252" s="11">
        <v>879.29137931034484</v>
      </c>
      <c r="O252" s="13">
        <v>2024</v>
      </c>
    </row>
    <row r="253" spans="1:15" ht="14.5" customHeight="1" x14ac:dyDescent="0.35">
      <c r="A253" s="20" t="s">
        <v>561</v>
      </c>
      <c r="B253" s="15" t="s">
        <v>562</v>
      </c>
      <c r="C253" s="15" t="s">
        <v>3108</v>
      </c>
      <c r="D253" s="16" t="s">
        <v>338</v>
      </c>
      <c r="E253" s="15" t="s">
        <v>214</v>
      </c>
      <c r="F253" s="15" t="s">
        <v>170</v>
      </c>
      <c r="G253" s="17" t="str">
        <f t="shared" si="3"/>
        <v>Small</v>
      </c>
      <c r="H253" s="3">
        <v>687</v>
      </c>
      <c r="I253" s="4">
        <v>39.5</v>
      </c>
      <c r="J253" s="5">
        <v>227404.46433770013</v>
      </c>
      <c r="K253" s="6">
        <v>3.8328874635884494E-3</v>
      </c>
      <c r="L253" s="5">
        <v>967.7997816593886</v>
      </c>
      <c r="M253" s="5">
        <v>104.69184861717613</v>
      </c>
      <c r="N253" s="11">
        <v>1619.6725909752549</v>
      </c>
      <c r="O253" s="13">
        <v>2024</v>
      </c>
    </row>
    <row r="254" spans="1:15" ht="14.5" customHeight="1" x14ac:dyDescent="0.35">
      <c r="A254" s="20" t="s">
        <v>563</v>
      </c>
      <c r="B254" s="15" t="s">
        <v>564</v>
      </c>
      <c r="C254" s="15" t="s">
        <v>3108</v>
      </c>
      <c r="D254" s="16" t="s">
        <v>65</v>
      </c>
      <c r="E254" s="15" t="s">
        <v>186</v>
      </c>
      <c r="F254" s="15" t="s">
        <v>170</v>
      </c>
      <c r="G254" s="17" t="str">
        <f t="shared" si="3"/>
        <v>Small</v>
      </c>
      <c r="H254" s="3">
        <v>1785</v>
      </c>
      <c r="I254" s="4">
        <v>36.1</v>
      </c>
      <c r="J254" s="5">
        <v>45919.704201680674</v>
      </c>
      <c r="K254" s="6">
        <v>4.8077589389014111E-3</v>
      </c>
      <c r="L254" s="5">
        <v>350.7456582633053</v>
      </c>
      <c r="M254" s="5">
        <v>0</v>
      </c>
      <c r="N254" s="11">
        <v>465.96806722689075</v>
      </c>
      <c r="O254" s="13">
        <v>2024</v>
      </c>
    </row>
    <row r="255" spans="1:15" ht="14.5" customHeight="1" x14ac:dyDescent="0.35">
      <c r="A255" s="20" t="s">
        <v>565</v>
      </c>
      <c r="B255" s="15" t="s">
        <v>566</v>
      </c>
      <c r="C255" s="15" t="s">
        <v>3108</v>
      </c>
      <c r="D255" s="16" t="s">
        <v>11</v>
      </c>
      <c r="E255" s="15" t="s">
        <v>173</v>
      </c>
      <c r="F255" s="15" t="s">
        <v>170</v>
      </c>
      <c r="G255" s="17" t="str">
        <f t="shared" si="3"/>
        <v>Small</v>
      </c>
      <c r="H255" s="3">
        <v>5008</v>
      </c>
      <c r="I255" s="4">
        <v>24.4</v>
      </c>
      <c r="J255" s="5">
        <v>70465.508785942497</v>
      </c>
      <c r="K255" s="6">
        <v>3.2502048761376546E-3</v>
      </c>
      <c r="L255" s="5">
        <v>610.72133985623009</v>
      </c>
      <c r="M255" s="5">
        <v>82.476543530351449</v>
      </c>
      <c r="N255" s="11">
        <v>817.3089756389777</v>
      </c>
      <c r="O255" s="13">
        <v>2024</v>
      </c>
    </row>
    <row r="256" spans="1:15" ht="14.5" customHeight="1" x14ac:dyDescent="0.35">
      <c r="A256" s="20" t="s">
        <v>567</v>
      </c>
      <c r="B256" s="15" t="s">
        <v>568</v>
      </c>
      <c r="C256" s="15" t="s">
        <v>3108</v>
      </c>
      <c r="D256" s="16" t="s">
        <v>5</v>
      </c>
      <c r="E256" s="15" t="s">
        <v>183</v>
      </c>
      <c r="F256" s="15" t="s">
        <v>170</v>
      </c>
      <c r="G256" s="17" t="str">
        <f t="shared" ref="G256:G319" si="4">IF(H256&lt;=10000,"Small",(IF(H256&lt;=100000,"Medium",IF(H256&gt;100000,"Large"))))</f>
        <v>Small</v>
      </c>
      <c r="H256" s="3">
        <v>1791</v>
      </c>
      <c r="I256" s="4">
        <v>35.200000000000003</v>
      </c>
      <c r="J256" s="5">
        <v>83031.54718034617</v>
      </c>
      <c r="K256" s="6">
        <v>1.6435130126621837E-3</v>
      </c>
      <c r="L256" s="5">
        <v>416.13509771077611</v>
      </c>
      <c r="M256" s="5">
        <v>47.523478503629256</v>
      </c>
      <c r="N256" s="11">
        <v>661.08154103852598</v>
      </c>
      <c r="O256" s="13">
        <v>2024</v>
      </c>
    </row>
    <row r="257" spans="1:15" ht="14.5" customHeight="1" x14ac:dyDescent="0.35">
      <c r="A257" s="20" t="s">
        <v>569</v>
      </c>
      <c r="B257" s="15" t="s">
        <v>570</v>
      </c>
      <c r="C257" s="15" t="s">
        <v>3108</v>
      </c>
      <c r="D257" s="16" t="s">
        <v>282</v>
      </c>
      <c r="E257" s="15" t="s">
        <v>169</v>
      </c>
      <c r="F257" s="15" t="s">
        <v>170</v>
      </c>
      <c r="G257" s="17" t="str">
        <f t="shared" si="4"/>
        <v>Small</v>
      </c>
      <c r="H257" s="3">
        <v>1486</v>
      </c>
      <c r="I257" s="4">
        <v>32.799999999999997</v>
      </c>
      <c r="J257" s="5">
        <v>53518.814939434727</v>
      </c>
      <c r="K257" s="6">
        <v>4.8323781026732666E-3</v>
      </c>
      <c r="L257" s="5">
        <v>269.85502691790043</v>
      </c>
      <c r="M257" s="5">
        <v>154.50874831763122</v>
      </c>
      <c r="N257" s="11">
        <v>738.01765814266491</v>
      </c>
      <c r="O257" s="13">
        <v>2024</v>
      </c>
    </row>
    <row r="258" spans="1:15" ht="14.5" customHeight="1" x14ac:dyDescent="0.35">
      <c r="A258" s="20" t="s">
        <v>571</v>
      </c>
      <c r="B258" s="15" t="s">
        <v>572</v>
      </c>
      <c r="C258" s="15" t="s">
        <v>3108</v>
      </c>
      <c r="D258" s="16" t="s">
        <v>26</v>
      </c>
      <c r="E258" s="15" t="s">
        <v>183</v>
      </c>
      <c r="F258" s="15" t="s">
        <v>170</v>
      </c>
      <c r="G258" s="17" t="str">
        <f t="shared" si="4"/>
        <v>Small</v>
      </c>
      <c r="H258" s="3">
        <v>4778</v>
      </c>
      <c r="I258" s="4">
        <v>56.8</v>
      </c>
      <c r="J258" s="5">
        <v>90324.506278777728</v>
      </c>
      <c r="K258" s="6">
        <v>4.612183296841767E-3</v>
      </c>
      <c r="L258" s="5">
        <v>572.70768940979497</v>
      </c>
      <c r="M258" s="5">
        <v>1847.6297614064463</v>
      </c>
      <c r="N258" s="11">
        <v>1166.9649790707408</v>
      </c>
      <c r="O258" s="13">
        <v>2024</v>
      </c>
    </row>
    <row r="259" spans="1:15" ht="14.5" customHeight="1" x14ac:dyDescent="0.35">
      <c r="A259" s="20" t="s">
        <v>573</v>
      </c>
      <c r="B259" s="15" t="s">
        <v>574</v>
      </c>
      <c r="C259" s="15" t="s">
        <v>3108</v>
      </c>
      <c r="D259" s="16" t="s">
        <v>37</v>
      </c>
      <c r="E259" s="15" t="s">
        <v>217</v>
      </c>
      <c r="F259" s="15" t="s">
        <v>170</v>
      </c>
      <c r="G259" s="17" t="str">
        <f t="shared" si="4"/>
        <v>Small</v>
      </c>
      <c r="H259" s="3">
        <v>3346</v>
      </c>
      <c r="I259" s="4">
        <v>40.799999999999997</v>
      </c>
      <c r="J259" s="5">
        <v>319115.35325762106</v>
      </c>
      <c r="K259" s="6">
        <v>1.0698996309631281E-3</v>
      </c>
      <c r="L259" s="5">
        <v>652.75702331141656</v>
      </c>
      <c r="M259" s="5">
        <v>0</v>
      </c>
      <c r="N259" s="11">
        <v>987.84997011356847</v>
      </c>
      <c r="O259" s="13">
        <v>2024</v>
      </c>
    </row>
    <row r="260" spans="1:15" ht="14.5" customHeight="1" x14ac:dyDescent="0.35">
      <c r="A260" s="20" t="s">
        <v>575</v>
      </c>
      <c r="B260" s="15" t="s">
        <v>576</v>
      </c>
      <c r="C260" s="15" t="s">
        <v>3108</v>
      </c>
      <c r="D260" s="16" t="s">
        <v>51</v>
      </c>
      <c r="E260" s="15" t="s">
        <v>217</v>
      </c>
      <c r="F260" s="15" t="s">
        <v>170</v>
      </c>
      <c r="G260" s="17" t="str">
        <f t="shared" si="4"/>
        <v>Small</v>
      </c>
      <c r="H260" s="3">
        <v>6500</v>
      </c>
      <c r="I260" s="4">
        <v>56.8</v>
      </c>
      <c r="J260" s="5">
        <v>104880.98984615384</v>
      </c>
      <c r="K260" s="6">
        <v>3.8197580145469317E-3</v>
      </c>
      <c r="L260" s="5">
        <v>575.11340769230765</v>
      </c>
      <c r="M260" s="5">
        <v>74.315416923076924</v>
      </c>
      <c r="N260" s="11">
        <v>996.02671538461539</v>
      </c>
      <c r="O260" s="13">
        <v>2024</v>
      </c>
    </row>
    <row r="261" spans="1:15" ht="14.5" customHeight="1" x14ac:dyDescent="0.35">
      <c r="A261" s="20" t="s">
        <v>577</v>
      </c>
      <c r="B261" s="15" t="s">
        <v>106</v>
      </c>
      <c r="C261" s="15" t="s">
        <v>3108</v>
      </c>
      <c r="D261" s="16" t="s">
        <v>18</v>
      </c>
      <c r="E261" s="15" t="s">
        <v>173</v>
      </c>
      <c r="F261" s="15" t="s">
        <v>170</v>
      </c>
      <c r="G261" s="17" t="str">
        <f t="shared" si="4"/>
        <v>Small</v>
      </c>
      <c r="H261" s="3">
        <v>5983</v>
      </c>
      <c r="I261" s="4">
        <v>36.9</v>
      </c>
      <c r="J261" s="5">
        <v>86381.872806284475</v>
      </c>
      <c r="K261" s="6">
        <v>3.9707598588757933E-3</v>
      </c>
      <c r="L261" s="5">
        <v>441.43066187531338</v>
      </c>
      <c r="M261" s="5">
        <v>802.27628280127021</v>
      </c>
      <c r="N261" s="11">
        <v>922.61300183854246</v>
      </c>
      <c r="O261" s="13">
        <v>2024</v>
      </c>
    </row>
    <row r="262" spans="1:15" ht="14.5" customHeight="1" x14ac:dyDescent="0.35">
      <c r="A262" s="20" t="s">
        <v>578</v>
      </c>
      <c r="B262" s="15" t="s">
        <v>579</v>
      </c>
      <c r="C262" s="15" t="s">
        <v>3108</v>
      </c>
      <c r="D262" s="16" t="s">
        <v>53</v>
      </c>
      <c r="E262" s="15" t="s">
        <v>207</v>
      </c>
      <c r="F262" s="15" t="s">
        <v>208</v>
      </c>
      <c r="G262" s="17" t="str">
        <f t="shared" si="4"/>
        <v>Medium</v>
      </c>
      <c r="H262" s="3">
        <v>12884</v>
      </c>
      <c r="I262" s="4">
        <v>26.7</v>
      </c>
      <c r="J262" s="5">
        <v>169359.61828624652</v>
      </c>
      <c r="K262" s="6">
        <v>4.122311239958671E-3</v>
      </c>
      <c r="L262" s="5">
        <v>921.2465849115182</v>
      </c>
      <c r="M262" s="5">
        <v>1432.6689692642037</v>
      </c>
      <c r="N262" s="11">
        <v>1361.4249456690468</v>
      </c>
      <c r="O262" s="13">
        <v>2024</v>
      </c>
    </row>
    <row r="263" spans="1:15" ht="14.5" customHeight="1" x14ac:dyDescent="0.35">
      <c r="A263" s="20" t="s">
        <v>580</v>
      </c>
      <c r="B263" s="15" t="s">
        <v>581</v>
      </c>
      <c r="C263" s="15" t="s">
        <v>3108</v>
      </c>
      <c r="D263" s="16" t="s">
        <v>55</v>
      </c>
      <c r="E263" s="15" t="s">
        <v>207</v>
      </c>
      <c r="F263" s="15" t="s">
        <v>208</v>
      </c>
      <c r="G263" s="17" t="str">
        <f t="shared" si="4"/>
        <v>Medium</v>
      </c>
      <c r="H263" s="3">
        <v>42545</v>
      </c>
      <c r="I263" s="4">
        <v>39.299999999999997</v>
      </c>
      <c r="J263" s="5">
        <v>213090.9702197673</v>
      </c>
      <c r="K263" s="6">
        <v>2.5115589230487768E-3</v>
      </c>
      <c r="L263" s="5">
        <v>761.96880949582794</v>
      </c>
      <c r="M263" s="5">
        <v>525.69422963920556</v>
      </c>
      <c r="N263" s="11">
        <v>1323.5082853449289</v>
      </c>
      <c r="O263" s="13">
        <v>2024</v>
      </c>
    </row>
    <row r="264" spans="1:15" ht="14.5" customHeight="1" x14ac:dyDescent="0.35">
      <c r="A264" s="20" t="s">
        <v>582</v>
      </c>
      <c r="B264" s="15" t="s">
        <v>583</v>
      </c>
      <c r="C264" s="15" t="s">
        <v>3108</v>
      </c>
      <c r="D264" s="16" t="s">
        <v>20</v>
      </c>
      <c r="E264" s="15" t="s">
        <v>183</v>
      </c>
      <c r="F264" s="15" t="s">
        <v>170</v>
      </c>
      <c r="G264" s="17" t="str">
        <f t="shared" si="4"/>
        <v>Small</v>
      </c>
      <c r="H264" s="3">
        <v>8409</v>
      </c>
      <c r="I264" s="4">
        <v>49.7</v>
      </c>
      <c r="J264" s="5">
        <v>103208.97978356523</v>
      </c>
      <c r="K264" s="6">
        <v>2.5376043466696567E-3</v>
      </c>
      <c r="L264" s="5">
        <v>721.87343203710316</v>
      </c>
      <c r="M264" s="5">
        <v>1077.4170531573313</v>
      </c>
      <c r="N264" s="11">
        <v>1222.2233832798192</v>
      </c>
      <c r="O264" s="13">
        <v>2024</v>
      </c>
    </row>
    <row r="265" spans="1:15" ht="14.5" customHeight="1" x14ac:dyDescent="0.35">
      <c r="A265" s="20" t="s">
        <v>584</v>
      </c>
      <c r="B265" s="15" t="s">
        <v>585</v>
      </c>
      <c r="C265" s="15" t="s">
        <v>3108</v>
      </c>
      <c r="D265" s="16" t="s">
        <v>61</v>
      </c>
      <c r="E265" s="15" t="s">
        <v>173</v>
      </c>
      <c r="F265" s="15" t="s">
        <v>170</v>
      </c>
      <c r="G265" s="17" t="str">
        <f t="shared" si="4"/>
        <v>Small</v>
      </c>
      <c r="H265" s="3">
        <v>1516</v>
      </c>
      <c r="I265" s="4">
        <v>48.7</v>
      </c>
      <c r="J265" s="5">
        <v>73450.436015831132</v>
      </c>
      <c r="K265" s="6" t="s">
        <v>27</v>
      </c>
      <c r="L265" s="5">
        <v>0</v>
      </c>
      <c r="M265" s="5">
        <v>0</v>
      </c>
      <c r="N265" s="11">
        <v>0</v>
      </c>
      <c r="O265" s="13">
        <v>2024</v>
      </c>
    </row>
    <row r="266" spans="1:15" ht="14.5" customHeight="1" x14ac:dyDescent="0.35">
      <c r="A266" s="20" t="s">
        <v>586</v>
      </c>
      <c r="B266" s="15" t="s">
        <v>587</v>
      </c>
      <c r="C266" s="15" t="s">
        <v>3108</v>
      </c>
      <c r="D266" s="16" t="s">
        <v>588</v>
      </c>
      <c r="E266" s="15" t="s">
        <v>178</v>
      </c>
      <c r="F266" s="15" t="s">
        <v>170</v>
      </c>
      <c r="G266" s="17" t="str">
        <f t="shared" si="4"/>
        <v>Small</v>
      </c>
      <c r="H266" s="3">
        <v>2163</v>
      </c>
      <c r="I266" s="4">
        <v>31.4</v>
      </c>
      <c r="J266" s="5">
        <v>163696.64771151179</v>
      </c>
      <c r="K266" s="6">
        <v>2.8611561699595049E-3</v>
      </c>
      <c r="L266" s="5">
        <v>497.10635228848832</v>
      </c>
      <c r="M266" s="5">
        <v>0</v>
      </c>
      <c r="N266" s="11">
        <v>839.08833564493762</v>
      </c>
      <c r="O266" s="13">
        <v>2024</v>
      </c>
    </row>
    <row r="267" spans="1:15" ht="14.5" customHeight="1" x14ac:dyDescent="0.35">
      <c r="A267" s="20" t="s">
        <v>589</v>
      </c>
      <c r="B267" s="15" t="s">
        <v>590</v>
      </c>
      <c r="C267" s="15" t="s">
        <v>3108</v>
      </c>
      <c r="D267" s="16" t="s">
        <v>231</v>
      </c>
      <c r="E267" s="15" t="s">
        <v>178</v>
      </c>
      <c r="F267" s="15" t="s">
        <v>170</v>
      </c>
      <c r="G267" s="17" t="str">
        <f t="shared" si="4"/>
        <v>Small</v>
      </c>
      <c r="H267" s="3">
        <v>1253</v>
      </c>
      <c r="I267" s="4">
        <v>26.1</v>
      </c>
      <c r="J267" s="5">
        <v>78057.07980845969</v>
      </c>
      <c r="K267" s="6">
        <v>7.913356956607798E-3</v>
      </c>
      <c r="L267" s="5">
        <v>625.54748603351959</v>
      </c>
      <c r="M267" s="5">
        <v>1702.3144453312052</v>
      </c>
      <c r="N267" s="11">
        <v>1130.0542697525939</v>
      </c>
      <c r="O267" s="13">
        <v>2024</v>
      </c>
    </row>
    <row r="268" spans="1:15" ht="14.5" customHeight="1" x14ac:dyDescent="0.35">
      <c r="A268" s="20" t="s">
        <v>591</v>
      </c>
      <c r="B268" s="15" t="s">
        <v>592</v>
      </c>
      <c r="C268" s="15" t="s">
        <v>3108</v>
      </c>
      <c r="D268" s="16" t="s">
        <v>248</v>
      </c>
      <c r="E268" s="15" t="s">
        <v>217</v>
      </c>
      <c r="F268" s="15" t="s">
        <v>170</v>
      </c>
      <c r="G268" s="17" t="str">
        <f t="shared" si="4"/>
        <v>Small</v>
      </c>
      <c r="H268" s="3">
        <v>8382</v>
      </c>
      <c r="I268" s="4">
        <v>36.9</v>
      </c>
      <c r="J268" s="5">
        <v>107498.03424003818</v>
      </c>
      <c r="K268" s="6">
        <v>2.8872937734120232E-3</v>
      </c>
      <c r="L268" s="5">
        <v>327.44606179909323</v>
      </c>
      <c r="M268" s="5">
        <v>344.88785373419233</v>
      </c>
      <c r="N268" s="11">
        <v>599.12170961584343</v>
      </c>
      <c r="O268" s="13">
        <v>2024</v>
      </c>
    </row>
    <row r="269" spans="1:15" ht="14.5" customHeight="1" x14ac:dyDescent="0.35">
      <c r="A269" s="20" t="s">
        <v>593</v>
      </c>
      <c r="B269" s="15" t="s">
        <v>594</v>
      </c>
      <c r="C269" s="15" t="s">
        <v>3108</v>
      </c>
      <c r="D269" s="16" t="s">
        <v>53</v>
      </c>
      <c r="E269" s="15" t="s">
        <v>207</v>
      </c>
      <c r="F269" s="15" t="s">
        <v>208</v>
      </c>
      <c r="G269" s="17" t="str">
        <f t="shared" si="4"/>
        <v>Small</v>
      </c>
      <c r="H269" s="3">
        <v>9130</v>
      </c>
      <c r="I269" s="4">
        <v>40</v>
      </c>
      <c r="J269" s="5">
        <v>157826.134720701</v>
      </c>
      <c r="K269" s="6">
        <v>3.9288564805750274E-3</v>
      </c>
      <c r="L269" s="5">
        <v>850.82869660460017</v>
      </c>
      <c r="M269" s="5">
        <v>288.83263964950714</v>
      </c>
      <c r="N269" s="11">
        <v>1396.2623220153341</v>
      </c>
      <c r="O269" s="13">
        <v>2024</v>
      </c>
    </row>
    <row r="270" spans="1:15" ht="14.5" customHeight="1" x14ac:dyDescent="0.35">
      <c r="A270" s="20" t="s">
        <v>595</v>
      </c>
      <c r="B270" s="15" t="s">
        <v>596</v>
      </c>
      <c r="C270" s="15" t="s">
        <v>3108</v>
      </c>
      <c r="D270" s="16" t="s">
        <v>597</v>
      </c>
      <c r="E270" s="15" t="s">
        <v>169</v>
      </c>
      <c r="F270" s="15" t="s">
        <v>170</v>
      </c>
      <c r="G270" s="17" t="str">
        <f t="shared" si="4"/>
        <v>Small</v>
      </c>
      <c r="H270" s="3">
        <v>3197</v>
      </c>
      <c r="I270" s="4">
        <v>179.2</v>
      </c>
      <c r="J270" s="5">
        <v>131952.74382233343</v>
      </c>
      <c r="K270" s="6">
        <v>4.2110334843194477E-3</v>
      </c>
      <c r="L270" s="5">
        <v>561.13238035658424</v>
      </c>
      <c r="M270" s="5">
        <v>99.19981857991867</v>
      </c>
      <c r="N270" s="11">
        <v>884.15296840788244</v>
      </c>
      <c r="O270" s="13">
        <v>2024</v>
      </c>
    </row>
    <row r="271" spans="1:15" ht="14.5" customHeight="1" x14ac:dyDescent="0.35">
      <c r="A271" s="20" t="s">
        <v>598</v>
      </c>
      <c r="B271" s="15" t="s">
        <v>599</v>
      </c>
      <c r="C271" s="15" t="s">
        <v>3108</v>
      </c>
      <c r="D271" s="16" t="s">
        <v>496</v>
      </c>
      <c r="E271" s="15" t="s">
        <v>169</v>
      </c>
      <c r="F271" s="15" t="s">
        <v>170</v>
      </c>
      <c r="G271" s="17" t="str">
        <f t="shared" si="4"/>
        <v>Small</v>
      </c>
      <c r="H271" s="3">
        <v>2042</v>
      </c>
      <c r="I271" s="4">
        <v>76.099999999999994</v>
      </c>
      <c r="J271" s="5">
        <v>106688.92605288932</v>
      </c>
      <c r="K271" s="6">
        <v>5.274831443911417E-3</v>
      </c>
      <c r="L271" s="5">
        <v>618.79292850146896</v>
      </c>
      <c r="M271" s="5">
        <v>2777.5762144955925</v>
      </c>
      <c r="N271" s="11">
        <v>2299.5939911851124</v>
      </c>
      <c r="O271" s="13">
        <v>2024</v>
      </c>
    </row>
    <row r="272" spans="1:15" ht="14.5" customHeight="1" x14ac:dyDescent="0.35">
      <c r="A272" s="20" t="s">
        <v>600</v>
      </c>
      <c r="B272" s="15" t="s">
        <v>601</v>
      </c>
      <c r="C272" s="15" t="s">
        <v>3108</v>
      </c>
      <c r="D272" s="16" t="s">
        <v>193</v>
      </c>
      <c r="E272" s="15" t="s">
        <v>186</v>
      </c>
      <c r="F272" s="15" t="s">
        <v>170</v>
      </c>
      <c r="G272" s="17" t="str">
        <f t="shared" si="4"/>
        <v>Small</v>
      </c>
      <c r="H272" s="3">
        <v>3126</v>
      </c>
      <c r="I272" s="4">
        <v>35.1</v>
      </c>
      <c r="J272" s="5">
        <v>84187.774792066542</v>
      </c>
      <c r="K272" s="6">
        <v>7.579486802390038E-3</v>
      </c>
      <c r="L272" s="5">
        <v>646.5387076135637</v>
      </c>
      <c r="M272" s="5">
        <v>230.35828534868841</v>
      </c>
      <c r="N272" s="11">
        <v>1025.8518873960334</v>
      </c>
      <c r="O272" s="13">
        <v>2024</v>
      </c>
    </row>
    <row r="273" spans="1:15" ht="14.5" customHeight="1" x14ac:dyDescent="0.35">
      <c r="A273" s="20" t="s">
        <v>602</v>
      </c>
      <c r="B273" s="15" t="s">
        <v>603</v>
      </c>
      <c r="C273" s="15" t="s">
        <v>3108</v>
      </c>
      <c r="D273" s="16" t="s">
        <v>20</v>
      </c>
      <c r="E273" s="15" t="s">
        <v>183</v>
      </c>
      <c r="F273" s="15" t="s">
        <v>170</v>
      </c>
      <c r="G273" s="17" t="str">
        <f t="shared" si="4"/>
        <v>Small</v>
      </c>
      <c r="H273" s="3">
        <v>908</v>
      </c>
      <c r="I273" s="4">
        <v>43.5</v>
      </c>
      <c r="J273" s="5">
        <v>85907.494493392063</v>
      </c>
      <c r="K273" s="6">
        <v>4.8582633673745351E-3</v>
      </c>
      <c r="L273" s="5">
        <v>593.45161894273122</v>
      </c>
      <c r="M273" s="5">
        <v>0</v>
      </c>
      <c r="N273" s="11">
        <v>1098.0312775330397</v>
      </c>
      <c r="O273" s="13">
        <v>2024</v>
      </c>
    </row>
    <row r="274" spans="1:15" ht="14.5" customHeight="1" x14ac:dyDescent="0.35">
      <c r="A274" s="20" t="s">
        <v>604</v>
      </c>
      <c r="B274" s="15" t="s">
        <v>605</v>
      </c>
      <c r="C274" s="15" t="s">
        <v>3108</v>
      </c>
      <c r="D274" s="16" t="s">
        <v>39</v>
      </c>
      <c r="E274" s="15" t="s">
        <v>173</v>
      </c>
      <c r="F274" s="15" t="s">
        <v>170</v>
      </c>
      <c r="G274" s="17" t="str">
        <f t="shared" si="4"/>
        <v>Small</v>
      </c>
      <c r="H274" s="3">
        <v>3421</v>
      </c>
      <c r="I274" s="4">
        <v>53.6</v>
      </c>
      <c r="J274" s="5">
        <v>121439.68401052324</v>
      </c>
      <c r="K274" s="6">
        <v>5.7640941243944062E-3</v>
      </c>
      <c r="L274" s="5">
        <v>704.03747734580531</v>
      </c>
      <c r="M274" s="5">
        <v>111.69908506284712</v>
      </c>
      <c r="N274" s="11">
        <v>842.86453960830158</v>
      </c>
      <c r="O274" s="13">
        <v>2024</v>
      </c>
    </row>
    <row r="275" spans="1:15" ht="14.5" customHeight="1" x14ac:dyDescent="0.35">
      <c r="A275" s="20" t="s">
        <v>606</v>
      </c>
      <c r="B275" s="15" t="s">
        <v>607</v>
      </c>
      <c r="C275" s="15" t="s">
        <v>3108</v>
      </c>
      <c r="D275" s="16" t="s">
        <v>73</v>
      </c>
      <c r="E275" s="15" t="s">
        <v>169</v>
      </c>
      <c r="F275" s="15" t="s">
        <v>170</v>
      </c>
      <c r="G275" s="17" t="str">
        <f t="shared" si="4"/>
        <v>Small</v>
      </c>
      <c r="H275" s="3">
        <v>4037</v>
      </c>
      <c r="I275" s="4">
        <v>59.1</v>
      </c>
      <c r="J275" s="5">
        <v>52238.061184047561</v>
      </c>
      <c r="K275" s="6">
        <v>4.7092979131147811E-3</v>
      </c>
      <c r="L275" s="5">
        <v>262.49051523408474</v>
      </c>
      <c r="M275" s="5">
        <v>300.29825860787713</v>
      </c>
      <c r="N275" s="11">
        <v>619.54244736190242</v>
      </c>
      <c r="O275" s="13">
        <v>2024</v>
      </c>
    </row>
    <row r="276" spans="1:15" ht="14.5" customHeight="1" x14ac:dyDescent="0.35">
      <c r="A276" s="20" t="s">
        <v>608</v>
      </c>
      <c r="B276" s="15" t="s">
        <v>609</v>
      </c>
      <c r="C276" s="15" t="s">
        <v>3108</v>
      </c>
      <c r="D276" s="16" t="s">
        <v>18</v>
      </c>
      <c r="E276" s="15" t="s">
        <v>173</v>
      </c>
      <c r="F276" s="15" t="s">
        <v>170</v>
      </c>
      <c r="G276" s="17" t="str">
        <f t="shared" si="4"/>
        <v>Small</v>
      </c>
      <c r="H276" s="3">
        <v>1835</v>
      </c>
      <c r="I276" s="4">
        <v>48.4</v>
      </c>
      <c r="J276" s="5">
        <v>65224.100272479562</v>
      </c>
      <c r="K276" s="6">
        <v>8.3370831383234225E-3</v>
      </c>
      <c r="L276" s="5">
        <v>594.16575476839228</v>
      </c>
      <c r="M276" s="5">
        <v>0</v>
      </c>
      <c r="N276" s="11">
        <v>776.80216893732972</v>
      </c>
      <c r="O276" s="13">
        <v>2024</v>
      </c>
    </row>
    <row r="277" spans="1:15" ht="14.5" customHeight="1" x14ac:dyDescent="0.35">
      <c r="A277" s="20" t="s">
        <v>610</v>
      </c>
      <c r="B277" s="15" t="s">
        <v>611</v>
      </c>
      <c r="C277" s="15" t="s">
        <v>3108</v>
      </c>
      <c r="D277" s="16" t="s">
        <v>46</v>
      </c>
      <c r="E277" s="15" t="s">
        <v>214</v>
      </c>
      <c r="F277" s="15" t="s">
        <v>170</v>
      </c>
      <c r="G277" s="17" t="str">
        <f t="shared" si="4"/>
        <v>Small</v>
      </c>
      <c r="H277" s="3">
        <v>953</v>
      </c>
      <c r="I277" s="4">
        <v>29.4</v>
      </c>
      <c r="J277" s="5">
        <v>89469.554039874085</v>
      </c>
      <c r="K277" s="6">
        <v>4.4278810808509542E-3</v>
      </c>
      <c r="L277" s="5">
        <v>563.18677859391391</v>
      </c>
      <c r="M277" s="5">
        <v>58.410283315844701</v>
      </c>
      <c r="N277" s="11">
        <v>897.00944386149001</v>
      </c>
      <c r="O277" s="13">
        <v>2024</v>
      </c>
    </row>
    <row r="278" spans="1:15" ht="14.5" customHeight="1" x14ac:dyDescent="0.35">
      <c r="A278" s="20" t="s">
        <v>612</v>
      </c>
      <c r="B278" s="15" t="s">
        <v>613</v>
      </c>
      <c r="C278" s="15" t="s">
        <v>3108</v>
      </c>
      <c r="D278" s="16" t="s">
        <v>7</v>
      </c>
      <c r="E278" s="15" t="s">
        <v>178</v>
      </c>
      <c r="F278" s="15" t="s">
        <v>170</v>
      </c>
      <c r="G278" s="17" t="str">
        <f t="shared" si="4"/>
        <v>Small</v>
      </c>
      <c r="H278" s="3">
        <v>3010</v>
      </c>
      <c r="I278" s="4">
        <v>47.4</v>
      </c>
      <c r="J278" s="5">
        <v>102538.5342192691</v>
      </c>
      <c r="K278" s="6">
        <v>2.136987715967265E-3</v>
      </c>
      <c r="L278" s="5">
        <v>541.8127641196013</v>
      </c>
      <c r="M278" s="5">
        <v>284.38538205980069</v>
      </c>
      <c r="N278" s="11">
        <v>1091.6837607973423</v>
      </c>
      <c r="O278" s="13">
        <v>2024</v>
      </c>
    </row>
    <row r="279" spans="1:15" ht="14.5" customHeight="1" x14ac:dyDescent="0.35">
      <c r="A279" s="20" t="s">
        <v>614</v>
      </c>
      <c r="B279" s="15" t="s">
        <v>615</v>
      </c>
      <c r="C279" s="15" t="s">
        <v>3108</v>
      </c>
      <c r="D279" s="16" t="s">
        <v>220</v>
      </c>
      <c r="E279" s="15" t="s">
        <v>173</v>
      </c>
      <c r="F279" s="15" t="s">
        <v>170</v>
      </c>
      <c r="G279" s="17" t="str">
        <f t="shared" si="4"/>
        <v>Small</v>
      </c>
      <c r="H279" s="3">
        <v>2955</v>
      </c>
      <c r="I279" s="4">
        <v>51.6</v>
      </c>
      <c r="J279" s="5">
        <v>103419.13976311337</v>
      </c>
      <c r="K279" s="6">
        <v>3.6650554965070134E-3</v>
      </c>
      <c r="L279" s="5">
        <v>381.13760067681898</v>
      </c>
      <c r="M279" s="5">
        <v>57.410490693739426</v>
      </c>
      <c r="N279" s="11">
        <v>490.7201725888325</v>
      </c>
      <c r="O279" s="13">
        <v>2024</v>
      </c>
    </row>
    <row r="280" spans="1:15" ht="14.5" customHeight="1" x14ac:dyDescent="0.35">
      <c r="A280" s="20" t="s">
        <v>616</v>
      </c>
      <c r="B280" s="15" t="s">
        <v>617</v>
      </c>
      <c r="C280" s="15" t="s">
        <v>3108</v>
      </c>
      <c r="D280" s="16" t="s">
        <v>51</v>
      </c>
      <c r="E280" s="15" t="s">
        <v>217</v>
      </c>
      <c r="F280" s="15" t="s">
        <v>170</v>
      </c>
      <c r="G280" s="17" t="str">
        <f t="shared" si="4"/>
        <v>Small</v>
      </c>
      <c r="H280" s="3">
        <v>819</v>
      </c>
      <c r="I280" s="4">
        <v>64.099999999999994</v>
      </c>
      <c r="J280" s="5">
        <v>650666.31990231993</v>
      </c>
      <c r="K280" s="6">
        <v>1.4590443245372233E-3</v>
      </c>
      <c r="L280" s="5">
        <v>2679.1886080586078</v>
      </c>
      <c r="M280" s="5">
        <v>0</v>
      </c>
      <c r="N280" s="11">
        <v>4250.089560439561</v>
      </c>
      <c r="O280" s="13">
        <v>2024</v>
      </c>
    </row>
    <row r="281" spans="1:15" ht="14.5" customHeight="1" x14ac:dyDescent="0.35">
      <c r="A281" s="20" t="s">
        <v>618</v>
      </c>
      <c r="B281" s="15" t="s">
        <v>619</v>
      </c>
      <c r="C281" s="15" t="s">
        <v>3108</v>
      </c>
      <c r="D281" s="16" t="s">
        <v>65</v>
      </c>
      <c r="E281" s="15" t="s">
        <v>186</v>
      </c>
      <c r="F281" s="15" t="s">
        <v>170</v>
      </c>
      <c r="G281" s="17" t="str">
        <f t="shared" si="4"/>
        <v>Small</v>
      </c>
      <c r="H281" s="3">
        <v>1690</v>
      </c>
      <c r="I281" s="4">
        <v>35.5</v>
      </c>
      <c r="J281" s="5">
        <v>55586.845562130176</v>
      </c>
      <c r="K281" s="6">
        <v>4.635467318057424E-3</v>
      </c>
      <c r="L281" s="5">
        <v>409.91749704142018</v>
      </c>
      <c r="M281" s="5">
        <v>0</v>
      </c>
      <c r="N281" s="11">
        <v>337.66937278106508</v>
      </c>
      <c r="O281" s="13">
        <v>2024</v>
      </c>
    </row>
    <row r="282" spans="1:15" ht="14.5" customHeight="1" x14ac:dyDescent="0.35">
      <c r="A282" s="20" t="s">
        <v>620</v>
      </c>
      <c r="B282" s="15" t="s">
        <v>621</v>
      </c>
      <c r="C282" s="15" t="s">
        <v>3108</v>
      </c>
      <c r="D282" s="16" t="s">
        <v>63</v>
      </c>
      <c r="E282" s="15" t="s">
        <v>169</v>
      </c>
      <c r="F282" s="15" t="s">
        <v>170</v>
      </c>
      <c r="G282" s="17" t="str">
        <f t="shared" si="4"/>
        <v>Small</v>
      </c>
      <c r="H282" s="3">
        <v>2375</v>
      </c>
      <c r="I282" s="4">
        <v>82.5</v>
      </c>
      <c r="J282" s="5">
        <v>64268.693473684209</v>
      </c>
      <c r="K282" s="6">
        <v>3.6599631938666029E-3</v>
      </c>
      <c r="L282" s="5">
        <v>499.32385684210533</v>
      </c>
      <c r="M282" s="5">
        <v>155.97305263157895</v>
      </c>
      <c r="N282" s="11">
        <v>980.18843368421039</v>
      </c>
      <c r="O282" s="13">
        <v>2024</v>
      </c>
    </row>
    <row r="283" spans="1:15" ht="14.5" customHeight="1" x14ac:dyDescent="0.35">
      <c r="A283" s="20" t="s">
        <v>622</v>
      </c>
      <c r="B283" s="15" t="s">
        <v>623</v>
      </c>
      <c r="C283" s="15" t="s">
        <v>3108</v>
      </c>
      <c r="D283" s="16" t="s">
        <v>63</v>
      </c>
      <c r="E283" s="15" t="s">
        <v>169</v>
      </c>
      <c r="F283" s="15" t="s">
        <v>170</v>
      </c>
      <c r="G283" s="17" t="str">
        <f t="shared" si="4"/>
        <v>Small</v>
      </c>
      <c r="H283" s="3">
        <v>1023</v>
      </c>
      <c r="I283" s="4">
        <v>42.9</v>
      </c>
      <c r="J283" s="5">
        <v>53555.936461388075</v>
      </c>
      <c r="K283" s="6">
        <v>4.7005983439027017E-3</v>
      </c>
      <c r="L283" s="5">
        <v>508.48944281524922</v>
      </c>
      <c r="M283" s="5">
        <v>0</v>
      </c>
      <c r="N283" s="11">
        <v>776.5820234604106</v>
      </c>
      <c r="O283" s="13">
        <v>2024</v>
      </c>
    </row>
    <row r="284" spans="1:15" ht="14.5" customHeight="1" x14ac:dyDescent="0.35">
      <c r="A284" s="20" t="s">
        <v>624</v>
      </c>
      <c r="B284" s="15" t="s">
        <v>625</v>
      </c>
      <c r="C284" s="15" t="s">
        <v>3108</v>
      </c>
      <c r="D284" s="16" t="s">
        <v>67</v>
      </c>
      <c r="E284" s="15" t="s">
        <v>183</v>
      </c>
      <c r="F284" s="15" t="s">
        <v>170</v>
      </c>
      <c r="G284" s="17" t="str">
        <f t="shared" si="4"/>
        <v>Small</v>
      </c>
      <c r="H284" s="3">
        <v>1276</v>
      </c>
      <c r="I284" s="4">
        <v>30.4</v>
      </c>
      <c r="J284" s="5">
        <v>132449.565830721</v>
      </c>
      <c r="K284" s="6">
        <v>1.6621870727324697E-3</v>
      </c>
      <c r="L284" s="5">
        <v>593.02709247648909</v>
      </c>
      <c r="M284" s="5">
        <v>82.288401253918494</v>
      </c>
      <c r="N284" s="11">
        <v>830.59887931034473</v>
      </c>
      <c r="O284" s="13">
        <v>2024</v>
      </c>
    </row>
    <row r="285" spans="1:15" ht="14.5" customHeight="1" x14ac:dyDescent="0.35">
      <c r="A285" s="20" t="s">
        <v>626</v>
      </c>
      <c r="B285" s="15" t="s">
        <v>627</v>
      </c>
      <c r="C285" s="15" t="s">
        <v>3108</v>
      </c>
      <c r="D285" s="16" t="s">
        <v>89</v>
      </c>
      <c r="E285" s="15" t="s">
        <v>183</v>
      </c>
      <c r="F285" s="15" t="s">
        <v>170</v>
      </c>
      <c r="G285" s="17" t="str">
        <f t="shared" si="4"/>
        <v>Medium</v>
      </c>
      <c r="H285" s="3">
        <v>26074</v>
      </c>
      <c r="I285" s="4">
        <v>33.799999999999997</v>
      </c>
      <c r="J285" s="5">
        <v>128916.20135000383</v>
      </c>
      <c r="K285" s="6">
        <v>6.0646359596015957E-3</v>
      </c>
      <c r="L285" s="5">
        <v>855.74169670936567</v>
      </c>
      <c r="M285" s="5">
        <v>279.13956431694407</v>
      </c>
      <c r="N285" s="11">
        <v>1173.3922681598526</v>
      </c>
      <c r="O285" s="13">
        <v>2024</v>
      </c>
    </row>
    <row r="286" spans="1:15" ht="14.5" customHeight="1" x14ac:dyDescent="0.35">
      <c r="A286" s="20" t="s">
        <v>628</v>
      </c>
      <c r="B286" s="15" t="s">
        <v>629</v>
      </c>
      <c r="C286" s="15" t="s">
        <v>3108</v>
      </c>
      <c r="D286" s="16" t="s">
        <v>69</v>
      </c>
      <c r="E286" s="15" t="s">
        <v>173</v>
      </c>
      <c r="F286" s="15" t="s">
        <v>170</v>
      </c>
      <c r="G286" s="17" t="str">
        <f t="shared" si="4"/>
        <v>Small</v>
      </c>
      <c r="H286" s="3">
        <v>374</v>
      </c>
      <c r="I286" s="4">
        <v>20.6</v>
      </c>
      <c r="J286" s="5">
        <v>122614.47593582887</v>
      </c>
      <c r="K286" s="6" t="s">
        <v>27</v>
      </c>
      <c r="L286" s="5">
        <v>0</v>
      </c>
      <c r="M286" s="5">
        <v>0</v>
      </c>
      <c r="N286" s="11">
        <v>0</v>
      </c>
      <c r="O286" s="13">
        <v>2024</v>
      </c>
    </row>
    <row r="287" spans="1:15" ht="14.5" customHeight="1" x14ac:dyDescent="0.35">
      <c r="A287" s="20" t="s">
        <v>630</v>
      </c>
      <c r="B287" s="15" t="s">
        <v>631</v>
      </c>
      <c r="C287" s="15" t="s">
        <v>3108</v>
      </c>
      <c r="D287" s="16" t="s">
        <v>81</v>
      </c>
      <c r="E287" s="15" t="s">
        <v>214</v>
      </c>
      <c r="F287" s="15" t="s">
        <v>170</v>
      </c>
      <c r="G287" s="17" t="str">
        <f t="shared" si="4"/>
        <v>Small</v>
      </c>
      <c r="H287" s="3">
        <v>3983</v>
      </c>
      <c r="I287" s="4">
        <v>32.9</v>
      </c>
      <c r="J287" s="5">
        <v>116137.47577203113</v>
      </c>
      <c r="K287" s="6">
        <v>1.700444333456212E-3</v>
      </c>
      <c r="L287" s="5">
        <v>643.15161687170462</v>
      </c>
      <c r="M287" s="5">
        <v>745.97037408988194</v>
      </c>
      <c r="N287" s="11">
        <v>633.78102435350229</v>
      </c>
      <c r="O287" s="13">
        <v>2024</v>
      </c>
    </row>
    <row r="288" spans="1:15" ht="14.5" customHeight="1" x14ac:dyDescent="0.35">
      <c r="A288" s="20" t="s">
        <v>632</v>
      </c>
      <c r="B288" s="15" t="s">
        <v>633</v>
      </c>
      <c r="C288" s="15" t="s">
        <v>3108</v>
      </c>
      <c r="D288" s="16" t="s">
        <v>53</v>
      </c>
      <c r="E288" s="15" t="s">
        <v>207</v>
      </c>
      <c r="F288" s="15" t="s">
        <v>208</v>
      </c>
      <c r="G288" s="17" t="str">
        <f t="shared" si="4"/>
        <v>Small</v>
      </c>
      <c r="H288" s="3">
        <v>7509</v>
      </c>
      <c r="I288" s="4">
        <v>66.5</v>
      </c>
      <c r="J288" s="5">
        <v>111148.5247036889</v>
      </c>
      <c r="K288" s="6">
        <v>3.323804891752438E-3</v>
      </c>
      <c r="L288" s="5">
        <v>600.96351045412177</v>
      </c>
      <c r="M288" s="5">
        <v>39.952057530962847</v>
      </c>
      <c r="N288" s="11">
        <v>929.54601145292315</v>
      </c>
      <c r="O288" s="13">
        <v>2024</v>
      </c>
    </row>
    <row r="289" spans="1:15" ht="14.5" customHeight="1" x14ac:dyDescent="0.35">
      <c r="A289" s="20" t="s">
        <v>634</v>
      </c>
      <c r="B289" s="15" t="s">
        <v>220</v>
      </c>
      <c r="C289" s="15" t="s">
        <v>3108</v>
      </c>
      <c r="D289" s="16" t="s">
        <v>324</v>
      </c>
      <c r="E289" s="15" t="s">
        <v>207</v>
      </c>
      <c r="F289" s="15" t="s">
        <v>208</v>
      </c>
      <c r="G289" s="17" t="str">
        <f t="shared" si="4"/>
        <v>Small</v>
      </c>
      <c r="H289" s="3">
        <v>2203</v>
      </c>
      <c r="I289" s="4">
        <v>34.9</v>
      </c>
      <c r="J289" s="5">
        <v>207125.9269178393</v>
      </c>
      <c r="K289" s="6">
        <v>4.052729378633808E-3</v>
      </c>
      <c r="L289" s="5">
        <v>969.04176123467994</v>
      </c>
      <c r="M289" s="5">
        <v>333.28506581933726</v>
      </c>
      <c r="N289" s="11">
        <v>1942.3858374943259</v>
      </c>
      <c r="O289" s="13">
        <v>2024</v>
      </c>
    </row>
    <row r="290" spans="1:15" ht="14.5" customHeight="1" x14ac:dyDescent="0.35">
      <c r="A290" s="20" t="s">
        <v>635</v>
      </c>
      <c r="B290" s="15" t="s">
        <v>636</v>
      </c>
      <c r="C290" s="15" t="s">
        <v>3108</v>
      </c>
      <c r="D290" s="16" t="s">
        <v>220</v>
      </c>
      <c r="E290" s="15" t="s">
        <v>173</v>
      </c>
      <c r="F290" s="15" t="s">
        <v>170</v>
      </c>
      <c r="G290" s="17" t="str">
        <f t="shared" si="4"/>
        <v>Small</v>
      </c>
      <c r="H290" s="3">
        <v>4795</v>
      </c>
      <c r="I290" s="4">
        <v>64.2</v>
      </c>
      <c r="J290" s="5">
        <v>111924.91720542232</v>
      </c>
      <c r="K290" s="6">
        <v>3.5154551638593083E-3</v>
      </c>
      <c r="L290" s="5">
        <v>417.83906777893634</v>
      </c>
      <c r="M290" s="5">
        <v>21.390187695516161</v>
      </c>
      <c r="N290" s="11">
        <v>573.48949530761206</v>
      </c>
      <c r="O290" s="13">
        <v>2024</v>
      </c>
    </row>
    <row r="291" spans="1:15" ht="14.5" customHeight="1" x14ac:dyDescent="0.35">
      <c r="A291" s="20" t="s">
        <v>637</v>
      </c>
      <c r="B291" s="15" t="s">
        <v>638</v>
      </c>
      <c r="C291" s="15" t="s">
        <v>3108</v>
      </c>
      <c r="D291" s="16" t="s">
        <v>597</v>
      </c>
      <c r="E291" s="15" t="s">
        <v>169</v>
      </c>
      <c r="F291" s="15" t="s">
        <v>170</v>
      </c>
      <c r="G291" s="17" t="str">
        <f t="shared" si="4"/>
        <v>Small</v>
      </c>
      <c r="H291" s="3">
        <v>2626</v>
      </c>
      <c r="I291" s="4">
        <v>50.6</v>
      </c>
      <c r="J291" s="5">
        <v>73396.619954303125</v>
      </c>
      <c r="K291" s="6">
        <v>5.9963622199253747E-3</v>
      </c>
      <c r="L291" s="5">
        <v>538.51304265041892</v>
      </c>
      <c r="M291" s="5">
        <v>426.04607768469157</v>
      </c>
      <c r="N291" s="11">
        <v>942.07539603960402</v>
      </c>
      <c r="O291" s="13">
        <v>2024</v>
      </c>
    </row>
    <row r="292" spans="1:15" ht="14.5" customHeight="1" x14ac:dyDescent="0.35">
      <c r="A292" s="20" t="s">
        <v>639</v>
      </c>
      <c r="B292" s="15" t="s">
        <v>640</v>
      </c>
      <c r="C292" s="15" t="s">
        <v>3108</v>
      </c>
      <c r="D292" s="16" t="s">
        <v>43</v>
      </c>
      <c r="E292" s="15" t="s">
        <v>207</v>
      </c>
      <c r="F292" s="15" t="s">
        <v>208</v>
      </c>
      <c r="G292" s="17" t="str">
        <f t="shared" si="4"/>
        <v>Small</v>
      </c>
      <c r="H292" s="3">
        <v>493</v>
      </c>
      <c r="I292" s="4">
        <v>105.7</v>
      </c>
      <c r="J292" s="5">
        <v>675317.63286004052</v>
      </c>
      <c r="K292" s="6">
        <v>3.3427497521990954E-3</v>
      </c>
      <c r="L292" s="5">
        <v>2383.3103448275861</v>
      </c>
      <c r="M292" s="5">
        <v>292.78498985801218</v>
      </c>
      <c r="N292" s="11">
        <v>3938.1379310344828</v>
      </c>
      <c r="O292" s="13">
        <v>2024</v>
      </c>
    </row>
    <row r="293" spans="1:15" ht="14.5" customHeight="1" x14ac:dyDescent="0.35">
      <c r="A293" s="20" t="s">
        <v>641</v>
      </c>
      <c r="B293" s="15" t="s">
        <v>642</v>
      </c>
      <c r="C293" s="15" t="s">
        <v>3108</v>
      </c>
      <c r="D293" s="16" t="s">
        <v>220</v>
      </c>
      <c r="E293" s="15" t="s">
        <v>173</v>
      </c>
      <c r="F293" s="15" t="s">
        <v>170</v>
      </c>
      <c r="G293" s="17" t="str">
        <f t="shared" si="4"/>
        <v>Small</v>
      </c>
      <c r="H293" s="3">
        <v>1427</v>
      </c>
      <c r="I293" s="4">
        <v>43</v>
      </c>
      <c r="J293" s="5">
        <v>264781.37701471621</v>
      </c>
      <c r="K293" s="6">
        <v>3.5494157924444943E-3</v>
      </c>
      <c r="L293" s="5">
        <v>966.40401541695871</v>
      </c>
      <c r="M293" s="5">
        <v>288.98591450595654</v>
      </c>
      <c r="N293" s="11">
        <v>1090.3816398037843</v>
      </c>
      <c r="O293" s="13">
        <v>2024</v>
      </c>
    </row>
    <row r="294" spans="1:15" ht="14.5" customHeight="1" x14ac:dyDescent="0.35">
      <c r="A294" s="20" t="s">
        <v>643</v>
      </c>
      <c r="B294" s="15" t="s">
        <v>644</v>
      </c>
      <c r="C294" s="15" t="s">
        <v>3108</v>
      </c>
      <c r="D294" s="16" t="s">
        <v>597</v>
      </c>
      <c r="E294" s="15" t="s">
        <v>169</v>
      </c>
      <c r="F294" s="15" t="s">
        <v>170</v>
      </c>
      <c r="G294" s="17" t="str">
        <f t="shared" si="4"/>
        <v>Small</v>
      </c>
      <c r="H294" s="3">
        <v>1610</v>
      </c>
      <c r="I294" s="4">
        <v>137.1</v>
      </c>
      <c r="J294" s="5">
        <v>146440.39627329193</v>
      </c>
      <c r="K294" s="6">
        <v>3.7033658338123262E-3</v>
      </c>
      <c r="L294" s="5">
        <v>552.81595652173905</v>
      </c>
      <c r="M294" s="5">
        <v>1863.3540372670807</v>
      </c>
      <c r="N294" s="11">
        <v>2263.9888322981365</v>
      </c>
      <c r="O294" s="13">
        <v>2024</v>
      </c>
    </row>
    <row r="295" spans="1:15" ht="14.5" customHeight="1" x14ac:dyDescent="0.35">
      <c r="A295" s="20" t="s">
        <v>645</v>
      </c>
      <c r="B295" s="15" t="s">
        <v>646</v>
      </c>
      <c r="C295" s="15" t="s">
        <v>3108</v>
      </c>
      <c r="D295" s="16" t="s">
        <v>11</v>
      </c>
      <c r="E295" s="15" t="s">
        <v>173</v>
      </c>
      <c r="F295" s="15" t="s">
        <v>170</v>
      </c>
      <c r="G295" s="17" t="str">
        <f t="shared" si="4"/>
        <v>Small</v>
      </c>
      <c r="H295" s="3">
        <v>5100</v>
      </c>
      <c r="I295" s="4">
        <v>4.8</v>
      </c>
      <c r="J295" s="5">
        <v>53515.186862745097</v>
      </c>
      <c r="K295" s="6">
        <v>2.6547725852994349E-3</v>
      </c>
      <c r="L295" s="5">
        <v>394.80667254901959</v>
      </c>
      <c r="M295" s="5">
        <v>292.15686274509807</v>
      </c>
      <c r="N295" s="11">
        <v>882.3231607843137</v>
      </c>
      <c r="O295" s="13">
        <v>2024</v>
      </c>
    </row>
    <row r="296" spans="1:15" ht="14.5" customHeight="1" x14ac:dyDescent="0.35">
      <c r="A296" s="20" t="s">
        <v>647</v>
      </c>
      <c r="B296" s="15" t="s">
        <v>646</v>
      </c>
      <c r="C296" s="15" t="s">
        <v>3108</v>
      </c>
      <c r="D296" s="16" t="s">
        <v>282</v>
      </c>
      <c r="E296" s="15" t="s">
        <v>169</v>
      </c>
      <c r="F296" s="15" t="s">
        <v>170</v>
      </c>
      <c r="G296" s="17" t="str">
        <f t="shared" si="4"/>
        <v>Small</v>
      </c>
      <c r="H296" s="3">
        <v>965</v>
      </c>
      <c r="I296" s="4">
        <v>44.2</v>
      </c>
      <c r="J296" s="5">
        <v>59943.552331606217</v>
      </c>
      <c r="K296" s="6">
        <v>8.6186437783055594E-3</v>
      </c>
      <c r="L296" s="5">
        <v>518.48704663212436</v>
      </c>
      <c r="M296" s="5">
        <v>86.886010362694307</v>
      </c>
      <c r="N296" s="11">
        <v>1064.1129533678757</v>
      </c>
      <c r="O296" s="13">
        <v>2024</v>
      </c>
    </row>
    <row r="297" spans="1:15" ht="14.5" customHeight="1" x14ac:dyDescent="0.35">
      <c r="A297" s="20" t="s">
        <v>648</v>
      </c>
      <c r="B297" s="15" t="s">
        <v>649</v>
      </c>
      <c r="C297" s="15" t="s">
        <v>3108</v>
      </c>
      <c r="D297" s="16" t="s">
        <v>451</v>
      </c>
      <c r="E297" s="15" t="s">
        <v>173</v>
      </c>
      <c r="F297" s="15" t="s">
        <v>170</v>
      </c>
      <c r="G297" s="17" t="str">
        <f t="shared" si="4"/>
        <v>Small</v>
      </c>
      <c r="H297" s="3">
        <v>3757</v>
      </c>
      <c r="I297" s="4">
        <v>36.299999999999997</v>
      </c>
      <c r="J297" s="5">
        <v>110413.02022890604</v>
      </c>
      <c r="K297" s="6">
        <v>2.9852935351501863E-3</v>
      </c>
      <c r="L297" s="5">
        <v>394.26932392866649</v>
      </c>
      <c r="M297" s="5">
        <v>0</v>
      </c>
      <c r="N297" s="11">
        <v>453.67244077721591</v>
      </c>
      <c r="O297" s="13">
        <v>2024</v>
      </c>
    </row>
    <row r="298" spans="1:15" ht="14.5" customHeight="1" x14ac:dyDescent="0.35">
      <c r="A298" s="20" t="s">
        <v>650</v>
      </c>
      <c r="B298" s="15" t="s">
        <v>651</v>
      </c>
      <c r="C298" s="15" t="s">
        <v>3108</v>
      </c>
      <c r="D298" s="16" t="s">
        <v>9</v>
      </c>
      <c r="E298" s="15" t="s">
        <v>207</v>
      </c>
      <c r="F298" s="15" t="s">
        <v>208</v>
      </c>
      <c r="G298" s="17" t="str">
        <f t="shared" si="4"/>
        <v>Small</v>
      </c>
      <c r="H298" s="3">
        <v>8415</v>
      </c>
      <c r="I298" s="4">
        <v>55.2</v>
      </c>
      <c r="J298" s="5">
        <v>128272.15080213903</v>
      </c>
      <c r="K298" s="6">
        <v>2.7680355078818146E-3</v>
      </c>
      <c r="L298" s="5">
        <v>539.33388116458696</v>
      </c>
      <c r="M298" s="5">
        <v>43.221002970885323</v>
      </c>
      <c r="N298" s="11">
        <v>778.17498871063583</v>
      </c>
      <c r="O298" s="13">
        <v>2024</v>
      </c>
    </row>
    <row r="299" spans="1:15" ht="14.5" customHeight="1" x14ac:dyDescent="0.35">
      <c r="A299" s="20" t="s">
        <v>652</v>
      </c>
      <c r="B299" s="15" t="s">
        <v>653</v>
      </c>
      <c r="C299" s="15" t="s">
        <v>3108</v>
      </c>
      <c r="D299" s="16" t="s">
        <v>237</v>
      </c>
      <c r="E299" s="15" t="s">
        <v>217</v>
      </c>
      <c r="F299" s="15" t="s">
        <v>170</v>
      </c>
      <c r="G299" s="17" t="str">
        <f t="shared" si="4"/>
        <v>Small</v>
      </c>
      <c r="H299" s="3">
        <v>537</v>
      </c>
      <c r="I299" s="4">
        <v>52.3</v>
      </c>
      <c r="J299" s="5">
        <v>733923.46368715086</v>
      </c>
      <c r="K299" s="6">
        <v>2.4118402433389685E-3</v>
      </c>
      <c r="L299" s="5">
        <v>1930.7554376163871</v>
      </c>
      <c r="M299" s="5">
        <v>1091.5325884543761</v>
      </c>
      <c r="N299" s="11">
        <v>2501.6370949720672</v>
      </c>
      <c r="O299" s="13">
        <v>2024</v>
      </c>
    </row>
    <row r="300" spans="1:15" ht="14.5" customHeight="1" x14ac:dyDescent="0.35">
      <c r="A300" s="20" t="s">
        <v>654</v>
      </c>
      <c r="B300" s="15" t="s">
        <v>655</v>
      </c>
      <c r="C300" s="15" t="s">
        <v>3108</v>
      </c>
      <c r="D300" s="16" t="s">
        <v>39</v>
      </c>
      <c r="E300" s="15" t="s">
        <v>173</v>
      </c>
      <c r="F300" s="15" t="s">
        <v>170</v>
      </c>
      <c r="G300" s="17" t="str">
        <f t="shared" si="4"/>
        <v>Medium</v>
      </c>
      <c r="H300" s="3">
        <v>13905</v>
      </c>
      <c r="I300" s="4">
        <v>93.6</v>
      </c>
      <c r="J300" s="5">
        <v>96258.841352031639</v>
      </c>
      <c r="K300" s="6">
        <v>7.4112778827822336E-3</v>
      </c>
      <c r="L300" s="5">
        <v>724.94441999280843</v>
      </c>
      <c r="M300" s="5">
        <v>477.68739733908666</v>
      </c>
      <c r="N300" s="11">
        <v>1261.5163056454512</v>
      </c>
      <c r="O300" s="13">
        <v>2024</v>
      </c>
    </row>
    <row r="301" spans="1:15" ht="14.5" customHeight="1" x14ac:dyDescent="0.35">
      <c r="A301" s="20" t="s">
        <v>656</v>
      </c>
      <c r="B301" s="15" t="s">
        <v>657</v>
      </c>
      <c r="C301" s="15" t="s">
        <v>3108</v>
      </c>
      <c r="D301" s="16" t="s">
        <v>282</v>
      </c>
      <c r="E301" s="15" t="s">
        <v>169</v>
      </c>
      <c r="F301" s="15" t="s">
        <v>170</v>
      </c>
      <c r="G301" s="17" t="str">
        <f t="shared" si="4"/>
        <v>Small</v>
      </c>
      <c r="H301" s="3">
        <v>180</v>
      </c>
      <c r="I301" s="4">
        <v>75</v>
      </c>
      <c r="J301" s="5">
        <v>382073.23333333334</v>
      </c>
      <c r="K301" s="6">
        <v>5.0393189601144238E-3</v>
      </c>
      <c r="L301" s="5">
        <v>1927.4722222222222</v>
      </c>
      <c r="M301" s="5">
        <v>0</v>
      </c>
      <c r="N301" s="11">
        <v>2957.088888888889</v>
      </c>
      <c r="O301" s="13">
        <v>2024</v>
      </c>
    </row>
    <row r="302" spans="1:15" ht="14.5" customHeight="1" x14ac:dyDescent="0.35">
      <c r="A302" s="20" t="s">
        <v>658</v>
      </c>
      <c r="B302" s="15" t="s">
        <v>659</v>
      </c>
      <c r="C302" s="15" t="s">
        <v>3108</v>
      </c>
      <c r="D302" s="16" t="s">
        <v>86</v>
      </c>
      <c r="E302" s="15" t="s">
        <v>217</v>
      </c>
      <c r="F302" s="15" t="s">
        <v>170</v>
      </c>
      <c r="G302" s="17" t="str">
        <f t="shared" si="4"/>
        <v>Small</v>
      </c>
      <c r="H302" s="3">
        <v>5863</v>
      </c>
      <c r="I302" s="4">
        <v>70.8</v>
      </c>
      <c r="J302" s="5">
        <v>128385.71789186423</v>
      </c>
      <c r="K302" s="6">
        <v>3.1641450089165577E-3</v>
      </c>
      <c r="L302" s="5">
        <v>549.22429984649489</v>
      </c>
      <c r="M302" s="5">
        <v>1076.7142486781511</v>
      </c>
      <c r="N302" s="11">
        <v>836.06257888453013</v>
      </c>
      <c r="O302" s="13">
        <v>2024</v>
      </c>
    </row>
    <row r="303" spans="1:15" ht="14.5" customHeight="1" x14ac:dyDescent="0.35">
      <c r="A303" s="20" t="s">
        <v>660</v>
      </c>
      <c r="B303" s="15" t="s">
        <v>107</v>
      </c>
      <c r="C303" s="15" t="s">
        <v>3108</v>
      </c>
      <c r="D303" s="16" t="s">
        <v>22</v>
      </c>
      <c r="E303" s="15" t="s">
        <v>186</v>
      </c>
      <c r="F303" s="15" t="s">
        <v>170</v>
      </c>
      <c r="G303" s="17" t="str">
        <f t="shared" si="4"/>
        <v>Small</v>
      </c>
      <c r="H303" s="3">
        <v>1240</v>
      </c>
      <c r="I303" s="4">
        <v>6.2</v>
      </c>
      <c r="J303" s="5">
        <v>165998.97096774195</v>
      </c>
      <c r="K303" s="6">
        <v>1.7830804275681383E-3</v>
      </c>
      <c r="L303" s="5">
        <v>694.06048387096769</v>
      </c>
      <c r="M303" s="5">
        <v>1157.1774193548388</v>
      </c>
      <c r="N303" s="11">
        <v>1067.1290322580646</v>
      </c>
      <c r="O303" s="13">
        <v>2024</v>
      </c>
    </row>
    <row r="304" spans="1:15" ht="14.5" customHeight="1" x14ac:dyDescent="0.35">
      <c r="A304" s="20" t="s">
        <v>661</v>
      </c>
      <c r="B304" s="15" t="s">
        <v>662</v>
      </c>
      <c r="C304" s="15" t="s">
        <v>3108</v>
      </c>
      <c r="D304" s="16" t="s">
        <v>248</v>
      </c>
      <c r="E304" s="15" t="s">
        <v>217</v>
      </c>
      <c r="F304" s="15" t="s">
        <v>170</v>
      </c>
      <c r="G304" s="17" t="str">
        <f t="shared" si="4"/>
        <v>Small</v>
      </c>
      <c r="H304" s="3">
        <v>2627</v>
      </c>
      <c r="I304" s="4">
        <v>49.3</v>
      </c>
      <c r="J304" s="5">
        <v>226537.22877807386</v>
      </c>
      <c r="K304" s="6">
        <v>4.983792161929501E-3</v>
      </c>
      <c r="L304" s="5">
        <v>1136.058622002284</v>
      </c>
      <c r="M304" s="5">
        <v>0</v>
      </c>
      <c r="N304" s="11">
        <v>1487.7567567567567</v>
      </c>
      <c r="O304" s="13">
        <v>2024</v>
      </c>
    </row>
    <row r="305" spans="1:15" ht="14.5" customHeight="1" x14ac:dyDescent="0.35">
      <c r="A305" s="20" t="s">
        <v>663</v>
      </c>
      <c r="B305" s="15" t="s">
        <v>664</v>
      </c>
      <c r="C305" s="15" t="s">
        <v>3108</v>
      </c>
      <c r="D305" s="16" t="s">
        <v>231</v>
      </c>
      <c r="E305" s="15" t="s">
        <v>178</v>
      </c>
      <c r="F305" s="15" t="s">
        <v>170</v>
      </c>
      <c r="G305" s="17" t="str">
        <f t="shared" si="4"/>
        <v>Small</v>
      </c>
      <c r="H305" s="3">
        <v>1105</v>
      </c>
      <c r="I305" s="4">
        <v>36.299999999999997</v>
      </c>
      <c r="J305" s="5">
        <v>86590.898642533939</v>
      </c>
      <c r="K305" s="6">
        <v>1.3482026780886117E-4</v>
      </c>
      <c r="L305" s="5">
        <v>717.60728506787325</v>
      </c>
      <c r="M305" s="5">
        <v>87.681447963800906</v>
      </c>
      <c r="N305" s="11">
        <v>1647.0428687782805</v>
      </c>
      <c r="O305" s="13">
        <v>2024</v>
      </c>
    </row>
    <row r="306" spans="1:15" ht="14.5" customHeight="1" x14ac:dyDescent="0.35">
      <c r="A306" s="20" t="s">
        <v>665</v>
      </c>
      <c r="B306" s="15" t="s">
        <v>666</v>
      </c>
      <c r="C306" s="15" t="s">
        <v>3108</v>
      </c>
      <c r="D306" s="16" t="s">
        <v>15</v>
      </c>
      <c r="E306" s="15" t="s">
        <v>178</v>
      </c>
      <c r="F306" s="15" t="s">
        <v>170</v>
      </c>
      <c r="G306" s="17" t="str">
        <f t="shared" si="4"/>
        <v>Small</v>
      </c>
      <c r="H306" s="3">
        <v>3640</v>
      </c>
      <c r="I306" s="4">
        <v>33.200000000000003</v>
      </c>
      <c r="J306" s="5">
        <v>102152.59917582417</v>
      </c>
      <c r="K306" s="6">
        <v>3.0140337798497383E-3</v>
      </c>
      <c r="L306" s="5">
        <v>614.45107417582426</v>
      </c>
      <c r="M306" s="5">
        <v>817.08791208791206</v>
      </c>
      <c r="N306" s="11">
        <v>1032.5724313186813</v>
      </c>
      <c r="O306" s="13">
        <v>2024</v>
      </c>
    </row>
    <row r="307" spans="1:15" ht="14.5" customHeight="1" x14ac:dyDescent="0.35">
      <c r="A307" s="20" t="s">
        <v>667</v>
      </c>
      <c r="B307" s="15" t="s">
        <v>668</v>
      </c>
      <c r="C307" s="15" t="s">
        <v>3108</v>
      </c>
      <c r="D307" s="16" t="s">
        <v>9</v>
      </c>
      <c r="E307" s="15" t="s">
        <v>207</v>
      </c>
      <c r="F307" s="15" t="s">
        <v>208</v>
      </c>
      <c r="G307" s="17" t="str">
        <f t="shared" si="4"/>
        <v>Medium</v>
      </c>
      <c r="H307" s="3">
        <v>29707</v>
      </c>
      <c r="I307" s="4">
        <v>56.5</v>
      </c>
      <c r="J307" s="5">
        <v>180254.63961355909</v>
      </c>
      <c r="K307" s="6">
        <v>3.0887930605354758E-3</v>
      </c>
      <c r="L307" s="5">
        <v>677.13932743124519</v>
      </c>
      <c r="M307" s="5">
        <v>1164.0017504291918</v>
      </c>
      <c r="N307" s="11">
        <v>1106.08937287508</v>
      </c>
      <c r="O307" s="13">
        <v>2024</v>
      </c>
    </row>
    <row r="308" spans="1:15" ht="14.5" customHeight="1" x14ac:dyDescent="0.35">
      <c r="A308" s="20" t="s">
        <v>669</v>
      </c>
      <c r="B308" s="15" t="s">
        <v>670</v>
      </c>
      <c r="C308" s="15" t="s">
        <v>3108</v>
      </c>
      <c r="D308" s="16" t="s">
        <v>77</v>
      </c>
      <c r="E308" s="15" t="s">
        <v>217</v>
      </c>
      <c r="F308" s="15" t="s">
        <v>170</v>
      </c>
      <c r="G308" s="17" t="str">
        <f t="shared" si="4"/>
        <v>Medium</v>
      </c>
      <c r="H308" s="3">
        <v>16748</v>
      </c>
      <c r="I308" s="4">
        <v>24</v>
      </c>
      <c r="J308" s="5">
        <v>128780.58478624314</v>
      </c>
      <c r="K308" s="6">
        <v>4.3616111980677909E-3</v>
      </c>
      <c r="L308" s="5">
        <v>832.54081442560312</v>
      </c>
      <c r="M308" s="5">
        <v>1197.0832338189634</v>
      </c>
      <c r="N308" s="11">
        <v>1684.4575143300692</v>
      </c>
      <c r="O308" s="13">
        <v>2024</v>
      </c>
    </row>
    <row r="309" spans="1:15" ht="14.5" customHeight="1" x14ac:dyDescent="0.35">
      <c r="A309" s="20" t="s">
        <v>671</v>
      </c>
      <c r="B309" s="15" t="s">
        <v>672</v>
      </c>
      <c r="C309" s="15" t="s">
        <v>3108</v>
      </c>
      <c r="D309" s="16" t="s">
        <v>272</v>
      </c>
      <c r="E309" s="15" t="s">
        <v>273</v>
      </c>
      <c r="F309" s="15" t="s">
        <v>208</v>
      </c>
      <c r="G309" s="17" t="str">
        <f t="shared" si="4"/>
        <v>Medium</v>
      </c>
      <c r="H309" s="3">
        <v>28385</v>
      </c>
      <c r="I309" s="4">
        <v>74.3</v>
      </c>
      <c r="J309" s="5">
        <v>1994132.9023075567</v>
      </c>
      <c r="K309" s="6">
        <v>1.1616491142921186E-3</v>
      </c>
      <c r="L309" s="5">
        <v>4234.1663554694378</v>
      </c>
      <c r="M309" s="5">
        <v>3928.138101109741</v>
      </c>
      <c r="N309" s="11">
        <v>7512.9446538664788</v>
      </c>
      <c r="O309" s="13">
        <v>2024</v>
      </c>
    </row>
    <row r="310" spans="1:15" ht="14.5" customHeight="1" x14ac:dyDescent="0.35">
      <c r="A310" s="20" t="s">
        <v>673</v>
      </c>
      <c r="B310" s="15" t="s">
        <v>674</v>
      </c>
      <c r="C310" s="15" t="s">
        <v>3108</v>
      </c>
      <c r="D310" s="16" t="s">
        <v>65</v>
      </c>
      <c r="E310" s="15" t="s">
        <v>186</v>
      </c>
      <c r="F310" s="15" t="s">
        <v>170</v>
      </c>
      <c r="G310" s="17" t="str">
        <f t="shared" si="4"/>
        <v>Small</v>
      </c>
      <c r="H310" s="3">
        <v>974</v>
      </c>
      <c r="I310" s="4">
        <v>40.1</v>
      </c>
      <c r="J310" s="5">
        <v>128499.98357289527</v>
      </c>
      <c r="K310" s="6">
        <v>5.7985050437929413E-3</v>
      </c>
      <c r="L310" s="5">
        <v>1102.1827515400412</v>
      </c>
      <c r="M310" s="5">
        <v>129.20533880903491</v>
      </c>
      <c r="N310" s="11">
        <v>1464.7946611909651</v>
      </c>
      <c r="O310" s="13">
        <v>2024</v>
      </c>
    </row>
    <row r="311" spans="1:15" ht="14.5" customHeight="1" x14ac:dyDescent="0.35">
      <c r="A311" s="20" t="s">
        <v>675</v>
      </c>
      <c r="B311" s="15" t="s">
        <v>676</v>
      </c>
      <c r="C311" s="15" t="s">
        <v>3108</v>
      </c>
      <c r="D311" s="16" t="s">
        <v>79</v>
      </c>
      <c r="E311" s="15" t="s">
        <v>178</v>
      </c>
      <c r="F311" s="15" t="s">
        <v>170</v>
      </c>
      <c r="G311" s="17" t="str">
        <f t="shared" si="4"/>
        <v>Small</v>
      </c>
      <c r="H311" s="3">
        <v>6334</v>
      </c>
      <c r="I311" s="4">
        <v>1.3</v>
      </c>
      <c r="J311" s="5">
        <v>72621.24976318283</v>
      </c>
      <c r="K311" s="6">
        <v>0</v>
      </c>
      <c r="L311" s="5">
        <v>3.2312914430059996</v>
      </c>
      <c r="M311" s="5">
        <v>0</v>
      </c>
      <c r="N311" s="11">
        <v>54.020524155352071</v>
      </c>
      <c r="O311" s="13">
        <v>2024</v>
      </c>
    </row>
    <row r="312" spans="1:15" ht="14.5" customHeight="1" x14ac:dyDescent="0.35">
      <c r="A312" s="20" t="s">
        <v>677</v>
      </c>
      <c r="B312" s="15" t="s">
        <v>678</v>
      </c>
      <c r="C312" s="15" t="s">
        <v>3108</v>
      </c>
      <c r="D312" s="16" t="s">
        <v>55</v>
      </c>
      <c r="E312" s="15" t="s">
        <v>207</v>
      </c>
      <c r="F312" s="15" t="s">
        <v>208</v>
      </c>
      <c r="G312" s="17" t="str">
        <f t="shared" si="4"/>
        <v>Medium</v>
      </c>
      <c r="H312" s="3">
        <v>34641</v>
      </c>
      <c r="I312" s="4">
        <v>4.9000000000000004</v>
      </c>
      <c r="J312" s="5">
        <v>309986.51210992754</v>
      </c>
      <c r="K312" s="6">
        <v>2.0885177853316563E-3</v>
      </c>
      <c r="L312" s="5">
        <v>839.01997632862788</v>
      </c>
      <c r="M312" s="5">
        <v>649.08634277301462</v>
      </c>
      <c r="N312" s="11">
        <v>1510.5559308334055</v>
      </c>
      <c r="O312" s="13">
        <v>2024</v>
      </c>
    </row>
    <row r="313" spans="1:15" ht="14.5" customHeight="1" x14ac:dyDescent="0.35">
      <c r="A313" s="20" t="s">
        <v>679</v>
      </c>
      <c r="B313" s="15" t="s">
        <v>680</v>
      </c>
      <c r="C313" s="15" t="s">
        <v>3108</v>
      </c>
      <c r="D313" s="16" t="s">
        <v>237</v>
      </c>
      <c r="E313" s="15" t="s">
        <v>217</v>
      </c>
      <c r="F313" s="15" t="s">
        <v>170</v>
      </c>
      <c r="G313" s="17" t="str">
        <f t="shared" si="4"/>
        <v>Small</v>
      </c>
      <c r="H313" s="3">
        <v>2279</v>
      </c>
      <c r="I313" s="4">
        <v>62.3</v>
      </c>
      <c r="J313" s="5">
        <v>160224.16937253182</v>
      </c>
      <c r="K313" s="6">
        <v>2.7402617639028463E-3</v>
      </c>
      <c r="L313" s="5">
        <v>492.71803422553745</v>
      </c>
      <c r="M313" s="5">
        <v>48.266783677051336</v>
      </c>
      <c r="N313" s="11">
        <v>862.91601579640201</v>
      </c>
      <c r="O313" s="13">
        <v>2024</v>
      </c>
    </row>
    <row r="314" spans="1:15" ht="14.5" customHeight="1" x14ac:dyDescent="0.35">
      <c r="A314" s="20" t="s">
        <v>681</v>
      </c>
      <c r="B314" s="15" t="s">
        <v>682</v>
      </c>
      <c r="C314" s="15" t="s">
        <v>3108</v>
      </c>
      <c r="D314" s="16" t="s">
        <v>67</v>
      </c>
      <c r="E314" s="15" t="s">
        <v>183</v>
      </c>
      <c r="F314" s="15" t="s">
        <v>170</v>
      </c>
      <c r="G314" s="17" t="str">
        <f t="shared" si="4"/>
        <v>Small</v>
      </c>
      <c r="H314" s="3">
        <v>4284</v>
      </c>
      <c r="I314" s="4">
        <v>44.6</v>
      </c>
      <c r="J314" s="5">
        <v>68385.510737628385</v>
      </c>
      <c r="K314" s="6">
        <v>2.3775894725025296E-3</v>
      </c>
      <c r="L314" s="5">
        <v>315.23739028944908</v>
      </c>
      <c r="M314" s="5">
        <v>19.047154528478057</v>
      </c>
      <c r="N314" s="11">
        <v>469.65596405228757</v>
      </c>
      <c r="O314" s="13">
        <v>2024</v>
      </c>
    </row>
    <row r="315" spans="1:15" ht="14.5" customHeight="1" x14ac:dyDescent="0.35">
      <c r="A315" s="20" t="s">
        <v>683</v>
      </c>
      <c r="B315" s="15" t="s">
        <v>684</v>
      </c>
      <c r="C315" s="15" t="s">
        <v>3108</v>
      </c>
      <c r="D315" s="16" t="s">
        <v>13</v>
      </c>
      <c r="E315" s="15" t="s">
        <v>186</v>
      </c>
      <c r="F315" s="15" t="s">
        <v>170</v>
      </c>
      <c r="G315" s="17" t="str">
        <f t="shared" si="4"/>
        <v>Small</v>
      </c>
      <c r="H315" s="3">
        <v>7573</v>
      </c>
      <c r="I315" s="4">
        <v>39.799999999999997</v>
      </c>
      <c r="J315" s="5">
        <v>113337.21338967384</v>
      </c>
      <c r="K315" s="6">
        <v>5.3135658429938303E-3</v>
      </c>
      <c r="L315" s="5">
        <v>798.49227518816849</v>
      </c>
      <c r="M315" s="5">
        <v>1629.2090320876798</v>
      </c>
      <c r="N315" s="11">
        <v>1112.3768651789251</v>
      </c>
      <c r="O315" s="13">
        <v>2024</v>
      </c>
    </row>
    <row r="316" spans="1:15" ht="14.5" customHeight="1" x14ac:dyDescent="0.35">
      <c r="A316" s="20" t="s">
        <v>685</v>
      </c>
      <c r="B316" s="15" t="s">
        <v>686</v>
      </c>
      <c r="C316" s="15" t="s">
        <v>3108</v>
      </c>
      <c r="D316" s="16" t="s">
        <v>51</v>
      </c>
      <c r="E316" s="15" t="s">
        <v>217</v>
      </c>
      <c r="F316" s="15" t="s">
        <v>170</v>
      </c>
      <c r="G316" s="17" t="str">
        <f t="shared" si="4"/>
        <v>Small</v>
      </c>
      <c r="H316" s="3">
        <v>1333</v>
      </c>
      <c r="I316" s="4">
        <v>60.2</v>
      </c>
      <c r="J316" s="5">
        <v>419000.77194298577</v>
      </c>
      <c r="K316" s="6" t="s">
        <v>27</v>
      </c>
      <c r="L316" s="5">
        <v>0</v>
      </c>
      <c r="M316" s="5">
        <v>0</v>
      </c>
      <c r="N316" s="11">
        <v>0</v>
      </c>
      <c r="O316" s="13">
        <v>2024</v>
      </c>
    </row>
    <row r="317" spans="1:15" ht="14.5" customHeight="1" x14ac:dyDescent="0.35">
      <c r="A317" s="20" t="s">
        <v>687</v>
      </c>
      <c r="B317" s="15" t="s">
        <v>688</v>
      </c>
      <c r="C317" s="15" t="s">
        <v>3108</v>
      </c>
      <c r="D317" s="16" t="s">
        <v>69</v>
      </c>
      <c r="E317" s="15" t="s">
        <v>173</v>
      </c>
      <c r="F317" s="15" t="s">
        <v>170</v>
      </c>
      <c r="G317" s="17" t="str">
        <f t="shared" si="4"/>
        <v>Small</v>
      </c>
      <c r="H317" s="3">
        <v>1907</v>
      </c>
      <c r="I317" s="4">
        <v>44.3</v>
      </c>
      <c r="J317" s="5">
        <v>88576.094913476671</v>
      </c>
      <c r="K317" s="6" t="s">
        <v>27</v>
      </c>
      <c r="L317" s="5">
        <v>0</v>
      </c>
      <c r="M317" s="5">
        <v>0</v>
      </c>
      <c r="N317" s="11">
        <v>0</v>
      </c>
      <c r="O317" s="13">
        <v>2024</v>
      </c>
    </row>
    <row r="318" spans="1:15" ht="14.5" customHeight="1" x14ac:dyDescent="0.35">
      <c r="A318" s="20" t="s">
        <v>689</v>
      </c>
      <c r="B318" s="15" t="s">
        <v>690</v>
      </c>
      <c r="C318" s="15" t="s">
        <v>3108</v>
      </c>
      <c r="D318" s="16" t="s">
        <v>63</v>
      </c>
      <c r="E318" s="15" t="s">
        <v>169</v>
      </c>
      <c r="F318" s="15" t="s">
        <v>170</v>
      </c>
      <c r="G318" s="17" t="str">
        <f t="shared" si="4"/>
        <v>Small</v>
      </c>
      <c r="H318" s="3">
        <v>1015</v>
      </c>
      <c r="I318" s="4">
        <v>50.5</v>
      </c>
      <c r="J318" s="5">
        <v>86332.588177339901</v>
      </c>
      <c r="K318" s="6">
        <v>6.5243616173479273E-3</v>
      </c>
      <c r="L318" s="5">
        <v>888.16157635467982</v>
      </c>
      <c r="M318" s="5">
        <v>510.34482758620692</v>
      </c>
      <c r="N318" s="11">
        <v>1594.960591133005</v>
      </c>
      <c r="O318" s="13">
        <v>2024</v>
      </c>
    </row>
    <row r="319" spans="1:15" ht="14.5" customHeight="1" x14ac:dyDescent="0.35">
      <c r="A319" s="20" t="s">
        <v>691</v>
      </c>
      <c r="B319" s="15" t="s">
        <v>692</v>
      </c>
      <c r="C319" s="15" t="s">
        <v>3108</v>
      </c>
      <c r="D319" s="16" t="s">
        <v>7</v>
      </c>
      <c r="E319" s="15" t="s">
        <v>178</v>
      </c>
      <c r="F319" s="15" t="s">
        <v>170</v>
      </c>
      <c r="G319" s="17" t="str">
        <f t="shared" si="4"/>
        <v>Small</v>
      </c>
      <c r="H319" s="3">
        <v>2164</v>
      </c>
      <c r="I319" s="4">
        <v>35.700000000000003</v>
      </c>
      <c r="J319" s="5">
        <v>69125.638170055448</v>
      </c>
      <c r="K319" s="6">
        <v>7.3614319063721482E-3</v>
      </c>
      <c r="L319" s="5">
        <v>688.79990757855819</v>
      </c>
      <c r="M319" s="5">
        <v>6283.7338262476896</v>
      </c>
      <c r="N319" s="11">
        <v>994.27957486136779</v>
      </c>
      <c r="O319" s="13">
        <v>2024</v>
      </c>
    </row>
    <row r="320" spans="1:15" ht="14.5" customHeight="1" x14ac:dyDescent="0.35">
      <c r="A320" s="20" t="s">
        <v>693</v>
      </c>
      <c r="B320" s="15" t="s">
        <v>694</v>
      </c>
      <c r="C320" s="15" t="s">
        <v>3108</v>
      </c>
      <c r="D320" s="16" t="s">
        <v>89</v>
      </c>
      <c r="E320" s="15" t="s">
        <v>183</v>
      </c>
      <c r="F320" s="15" t="s">
        <v>170</v>
      </c>
      <c r="G320" s="17" t="str">
        <f t="shared" ref="G320:G383" si="5">IF(H320&lt;=10000,"Small",(IF(H320&lt;=100000,"Medium",IF(H320&gt;100000,"Large"))))</f>
        <v>Small</v>
      </c>
      <c r="H320" s="3">
        <v>5476</v>
      </c>
      <c r="I320" s="4">
        <v>37.5</v>
      </c>
      <c r="J320" s="5">
        <v>81229.690284879471</v>
      </c>
      <c r="K320" s="6">
        <v>4.9623012581822331E-3</v>
      </c>
      <c r="L320" s="5">
        <v>426.36249086924761</v>
      </c>
      <c r="M320" s="5">
        <v>189.79547114682251</v>
      </c>
      <c r="N320" s="11">
        <v>579.63276113951792</v>
      </c>
      <c r="O320" s="13">
        <v>2024</v>
      </c>
    </row>
    <row r="321" spans="1:15" ht="14.5" customHeight="1" x14ac:dyDescent="0.35">
      <c r="A321" s="20" t="s">
        <v>695</v>
      </c>
      <c r="B321" s="15" t="s">
        <v>696</v>
      </c>
      <c r="C321" s="15" t="s">
        <v>3108</v>
      </c>
      <c r="D321" s="16" t="s">
        <v>496</v>
      </c>
      <c r="E321" s="15" t="s">
        <v>169</v>
      </c>
      <c r="F321" s="15" t="s">
        <v>170</v>
      </c>
      <c r="G321" s="17" t="str">
        <f t="shared" si="5"/>
        <v>Small</v>
      </c>
      <c r="H321" s="3">
        <v>1203</v>
      </c>
      <c r="I321" s="4">
        <v>81.599999999999994</v>
      </c>
      <c r="J321" s="5">
        <v>188932.27348295928</v>
      </c>
      <c r="K321" s="6" t="s">
        <v>27</v>
      </c>
      <c r="L321" s="5">
        <v>0</v>
      </c>
      <c r="M321" s="5">
        <v>0</v>
      </c>
      <c r="N321" s="11">
        <v>0</v>
      </c>
      <c r="O321" s="13">
        <v>2024</v>
      </c>
    </row>
    <row r="322" spans="1:15" ht="14.5" customHeight="1" x14ac:dyDescent="0.35">
      <c r="A322" s="20" t="s">
        <v>697</v>
      </c>
      <c r="B322" s="15" t="s">
        <v>698</v>
      </c>
      <c r="C322" s="15" t="s">
        <v>3108</v>
      </c>
      <c r="D322" s="16" t="s">
        <v>73</v>
      </c>
      <c r="E322" s="15" t="s">
        <v>169</v>
      </c>
      <c r="F322" s="15" t="s">
        <v>170</v>
      </c>
      <c r="G322" s="17" t="str">
        <f t="shared" si="5"/>
        <v>Small</v>
      </c>
      <c r="H322" s="3">
        <v>1842</v>
      </c>
      <c r="I322" s="4">
        <v>106.6</v>
      </c>
      <c r="J322" s="5">
        <v>106508.07383279044</v>
      </c>
      <c r="K322" s="6">
        <v>1.1112787389834169E-2</v>
      </c>
      <c r="L322" s="5">
        <v>1288.934983713355</v>
      </c>
      <c r="M322" s="5">
        <v>536.36799674267104</v>
      </c>
      <c r="N322" s="11">
        <v>2860.0606894679695</v>
      </c>
      <c r="O322" s="13">
        <v>2024</v>
      </c>
    </row>
    <row r="323" spans="1:15" ht="14.5" customHeight="1" x14ac:dyDescent="0.35">
      <c r="A323" s="20" t="s">
        <v>699</v>
      </c>
      <c r="B323" s="15" t="s">
        <v>700</v>
      </c>
      <c r="C323" s="15" t="s">
        <v>3108</v>
      </c>
      <c r="D323" s="16" t="s">
        <v>22</v>
      </c>
      <c r="E323" s="15" t="s">
        <v>186</v>
      </c>
      <c r="F323" s="15" t="s">
        <v>170</v>
      </c>
      <c r="G323" s="17" t="str">
        <f t="shared" si="5"/>
        <v>Small</v>
      </c>
      <c r="H323" s="3">
        <v>4122</v>
      </c>
      <c r="I323" s="4">
        <v>47.5</v>
      </c>
      <c r="J323" s="5">
        <v>188502.48859776807</v>
      </c>
      <c r="K323" s="6">
        <v>1.6030056182564001E-3</v>
      </c>
      <c r="L323" s="5">
        <v>665.2889374090247</v>
      </c>
      <c r="M323" s="5">
        <v>32.759340126152352</v>
      </c>
      <c r="N323" s="11">
        <v>721.35007278020373</v>
      </c>
      <c r="O323" s="13">
        <v>2024</v>
      </c>
    </row>
    <row r="324" spans="1:15" ht="14.5" customHeight="1" x14ac:dyDescent="0.35">
      <c r="A324" s="20" t="s">
        <v>701</v>
      </c>
      <c r="B324" s="15" t="s">
        <v>702</v>
      </c>
      <c r="C324" s="15" t="s">
        <v>3108</v>
      </c>
      <c r="D324" s="16" t="s">
        <v>22</v>
      </c>
      <c r="E324" s="15" t="s">
        <v>186</v>
      </c>
      <c r="F324" s="15" t="s">
        <v>170</v>
      </c>
      <c r="G324" s="17" t="str">
        <f t="shared" si="5"/>
        <v>Small</v>
      </c>
      <c r="H324" s="3">
        <v>8768</v>
      </c>
      <c r="I324" s="4">
        <v>30.5</v>
      </c>
      <c r="J324" s="5">
        <v>79236.361998175184</v>
      </c>
      <c r="K324" s="6">
        <v>4.5792335702984598E-3</v>
      </c>
      <c r="L324" s="5">
        <v>577.70797673357663</v>
      </c>
      <c r="M324" s="5">
        <v>0</v>
      </c>
      <c r="N324" s="11">
        <v>583.59192290145995</v>
      </c>
      <c r="O324" s="13">
        <v>2024</v>
      </c>
    </row>
    <row r="325" spans="1:15" ht="14.5" customHeight="1" x14ac:dyDescent="0.35">
      <c r="A325" s="20" t="s">
        <v>703</v>
      </c>
      <c r="B325" s="15" t="s">
        <v>704</v>
      </c>
      <c r="C325" s="15" t="s">
        <v>3108</v>
      </c>
      <c r="D325" s="16" t="s">
        <v>65</v>
      </c>
      <c r="E325" s="15" t="s">
        <v>186</v>
      </c>
      <c r="F325" s="15" t="s">
        <v>170</v>
      </c>
      <c r="G325" s="17" t="str">
        <f t="shared" si="5"/>
        <v>Small</v>
      </c>
      <c r="H325" s="3">
        <v>1315</v>
      </c>
      <c r="I325" s="4">
        <v>45.1</v>
      </c>
      <c r="J325" s="5">
        <v>739867.36730038025</v>
      </c>
      <c r="K325" s="6">
        <v>1.0001001227649899E-3</v>
      </c>
      <c r="L325" s="5">
        <v>2378.0557338403041</v>
      </c>
      <c r="M325" s="5">
        <v>3570.3422053231939</v>
      </c>
      <c r="N325" s="11">
        <v>5316.5091939163494</v>
      </c>
      <c r="O325" s="13">
        <v>2024</v>
      </c>
    </row>
    <row r="326" spans="1:15" ht="14.5" customHeight="1" x14ac:dyDescent="0.35">
      <c r="A326" s="20" t="s">
        <v>705</v>
      </c>
      <c r="B326" s="15" t="s">
        <v>706</v>
      </c>
      <c r="C326" s="15" t="s">
        <v>3108</v>
      </c>
      <c r="D326" s="16" t="s">
        <v>22</v>
      </c>
      <c r="E326" s="15" t="s">
        <v>186</v>
      </c>
      <c r="F326" s="15" t="s">
        <v>170</v>
      </c>
      <c r="G326" s="17" t="str">
        <f t="shared" si="5"/>
        <v>Small</v>
      </c>
      <c r="H326" s="3">
        <v>1497</v>
      </c>
      <c r="I326" s="4">
        <v>36.6</v>
      </c>
      <c r="J326" s="5">
        <v>60492.871743486976</v>
      </c>
      <c r="K326" s="6">
        <v>7.7914632869566696E-3</v>
      </c>
      <c r="L326" s="5">
        <v>715.75818303273218</v>
      </c>
      <c r="M326" s="5">
        <v>0</v>
      </c>
      <c r="N326" s="11">
        <v>1567.4175016700067</v>
      </c>
      <c r="O326" s="13">
        <v>2024</v>
      </c>
    </row>
    <row r="327" spans="1:15" ht="14.5" customHeight="1" x14ac:dyDescent="0.35">
      <c r="A327" s="20" t="s">
        <v>707</v>
      </c>
      <c r="B327" s="15" t="s">
        <v>708</v>
      </c>
      <c r="C327" s="15" t="s">
        <v>3108</v>
      </c>
      <c r="D327" s="16" t="s">
        <v>94</v>
      </c>
      <c r="E327" s="15" t="s">
        <v>169</v>
      </c>
      <c r="F327" s="15" t="s">
        <v>170</v>
      </c>
      <c r="G327" s="17" t="str">
        <f t="shared" si="5"/>
        <v>Small</v>
      </c>
      <c r="H327" s="3">
        <v>3352</v>
      </c>
      <c r="I327" s="4">
        <v>85.2</v>
      </c>
      <c r="J327" s="5">
        <v>112872.08920047733</v>
      </c>
      <c r="K327" s="6">
        <v>2.7196965460641667E-3</v>
      </c>
      <c r="L327" s="5">
        <v>654.03920346062046</v>
      </c>
      <c r="M327" s="5">
        <v>402.32726730310264</v>
      </c>
      <c r="N327" s="11">
        <v>972.9143108591885</v>
      </c>
      <c r="O327" s="13">
        <v>2024</v>
      </c>
    </row>
    <row r="328" spans="1:15" ht="14.5" customHeight="1" x14ac:dyDescent="0.35">
      <c r="A328" s="20" t="s">
        <v>709</v>
      </c>
      <c r="B328" s="15" t="s">
        <v>710</v>
      </c>
      <c r="C328" s="15" t="s">
        <v>3108</v>
      </c>
      <c r="D328" s="16" t="s">
        <v>13</v>
      </c>
      <c r="E328" s="15" t="s">
        <v>186</v>
      </c>
      <c r="F328" s="15" t="s">
        <v>170</v>
      </c>
      <c r="G328" s="17" t="str">
        <f t="shared" si="5"/>
        <v>Medium</v>
      </c>
      <c r="H328" s="3">
        <v>11721</v>
      </c>
      <c r="I328" s="4">
        <v>34.5</v>
      </c>
      <c r="J328" s="5">
        <v>185967.59482979268</v>
      </c>
      <c r="K328" s="6" t="s">
        <v>27</v>
      </c>
      <c r="L328" s="5">
        <v>0</v>
      </c>
      <c r="M328" s="5">
        <v>0</v>
      </c>
      <c r="N328" s="11">
        <v>0</v>
      </c>
      <c r="O328" s="13">
        <v>2024</v>
      </c>
    </row>
    <row r="329" spans="1:15" ht="14.5" customHeight="1" x14ac:dyDescent="0.35">
      <c r="A329" s="20" t="s">
        <v>711</v>
      </c>
      <c r="B329" s="15" t="s">
        <v>108</v>
      </c>
      <c r="C329" s="15" t="s">
        <v>3108</v>
      </c>
      <c r="D329" s="16" t="s">
        <v>24</v>
      </c>
      <c r="E329" s="15" t="s">
        <v>173</v>
      </c>
      <c r="F329" s="15" t="s">
        <v>170</v>
      </c>
      <c r="G329" s="17" t="str">
        <f t="shared" si="5"/>
        <v>Small</v>
      </c>
      <c r="H329" s="3">
        <v>6848</v>
      </c>
      <c r="I329" s="4">
        <v>22.2</v>
      </c>
      <c r="J329" s="5">
        <v>85757.433995327097</v>
      </c>
      <c r="K329" s="6">
        <v>2.7578584421106191E-3</v>
      </c>
      <c r="L329" s="5">
        <v>447.28339515186917</v>
      </c>
      <c r="M329" s="5">
        <v>22.912089661214953</v>
      </c>
      <c r="N329" s="11">
        <v>539.04874269859818</v>
      </c>
      <c r="O329" s="13">
        <v>2024</v>
      </c>
    </row>
    <row r="330" spans="1:15" ht="14.5" customHeight="1" x14ac:dyDescent="0.35">
      <c r="A330" s="20" t="s">
        <v>712</v>
      </c>
      <c r="B330" s="15" t="s">
        <v>713</v>
      </c>
      <c r="C330" s="15" t="s">
        <v>3108</v>
      </c>
      <c r="D330" s="16" t="s">
        <v>39</v>
      </c>
      <c r="E330" s="15" t="s">
        <v>173</v>
      </c>
      <c r="F330" s="15" t="s">
        <v>170</v>
      </c>
      <c r="G330" s="17" t="str">
        <f t="shared" si="5"/>
        <v>Small</v>
      </c>
      <c r="H330" s="3">
        <v>3362</v>
      </c>
      <c r="I330" s="4">
        <v>36.700000000000003</v>
      </c>
      <c r="J330" s="5">
        <v>77393.690065437244</v>
      </c>
      <c r="K330" s="6">
        <v>7.2072651742433923E-3</v>
      </c>
      <c r="L330" s="5">
        <v>561.38664187983341</v>
      </c>
      <c r="M330" s="5">
        <v>220.40582391433671</v>
      </c>
      <c r="N330" s="11">
        <v>693.63565437239731</v>
      </c>
      <c r="O330" s="13">
        <v>2024</v>
      </c>
    </row>
    <row r="331" spans="1:15" ht="14.5" customHeight="1" x14ac:dyDescent="0.35">
      <c r="A331" s="20" t="s">
        <v>714</v>
      </c>
      <c r="B331" s="15" t="s">
        <v>715</v>
      </c>
      <c r="C331" s="15" t="s">
        <v>3108</v>
      </c>
      <c r="D331" s="16" t="s">
        <v>34</v>
      </c>
      <c r="E331" s="15" t="s">
        <v>214</v>
      </c>
      <c r="F331" s="15" t="s">
        <v>170</v>
      </c>
      <c r="G331" s="17" t="str">
        <f t="shared" si="5"/>
        <v>Small</v>
      </c>
      <c r="H331" s="3">
        <v>1677</v>
      </c>
      <c r="I331" s="4">
        <v>39.200000000000003</v>
      </c>
      <c r="J331" s="5">
        <v>73331.932617769824</v>
      </c>
      <c r="K331" s="6">
        <v>8.2947916284398706E-3</v>
      </c>
      <c r="L331" s="5">
        <v>790.50734048896845</v>
      </c>
      <c r="M331" s="5">
        <v>29.815146094215862</v>
      </c>
      <c r="N331" s="11">
        <v>907.39073345259396</v>
      </c>
      <c r="O331" s="13">
        <v>2024</v>
      </c>
    </row>
    <row r="332" spans="1:15" ht="14.5" customHeight="1" x14ac:dyDescent="0.35">
      <c r="A332" s="20" t="s">
        <v>716</v>
      </c>
      <c r="B332" s="15" t="s">
        <v>717</v>
      </c>
      <c r="C332" s="15" t="s">
        <v>3108</v>
      </c>
      <c r="D332" s="16" t="s">
        <v>24</v>
      </c>
      <c r="E332" s="15" t="s">
        <v>173</v>
      </c>
      <c r="F332" s="15" t="s">
        <v>170</v>
      </c>
      <c r="G332" s="17" t="str">
        <f t="shared" si="5"/>
        <v>Small</v>
      </c>
      <c r="H332" s="3">
        <v>1806</v>
      </c>
      <c r="I332" s="4">
        <v>44.3</v>
      </c>
      <c r="J332" s="5">
        <v>75591.718161683282</v>
      </c>
      <c r="K332" s="6">
        <v>4.0686237996080867E-3</v>
      </c>
      <c r="L332" s="5">
        <v>539.93036544850497</v>
      </c>
      <c r="M332" s="5">
        <v>46.41388150609081</v>
      </c>
      <c r="N332" s="11">
        <v>646.96071982281285</v>
      </c>
      <c r="O332" s="13">
        <v>2024</v>
      </c>
    </row>
    <row r="333" spans="1:15" ht="14.5" customHeight="1" x14ac:dyDescent="0.35">
      <c r="A333" s="20" t="s">
        <v>718</v>
      </c>
      <c r="B333" s="15" t="s">
        <v>719</v>
      </c>
      <c r="C333" s="15" t="s">
        <v>3108</v>
      </c>
      <c r="D333" s="16" t="s">
        <v>18</v>
      </c>
      <c r="E333" s="15" t="s">
        <v>173</v>
      </c>
      <c r="F333" s="15" t="s">
        <v>170</v>
      </c>
      <c r="G333" s="17" t="str">
        <f t="shared" si="5"/>
        <v>Small</v>
      </c>
      <c r="H333" s="3">
        <v>8095</v>
      </c>
      <c r="I333" s="4">
        <v>38.700000000000003</v>
      </c>
      <c r="J333" s="5">
        <v>94314.233724521313</v>
      </c>
      <c r="K333" s="6">
        <v>4.4730891209376813E-3</v>
      </c>
      <c r="L333" s="5">
        <v>611.44334403953053</v>
      </c>
      <c r="M333" s="5">
        <v>1161.2520074119827</v>
      </c>
      <c r="N333" s="11">
        <v>1001.585320568252</v>
      </c>
      <c r="O333" s="13">
        <v>2024</v>
      </c>
    </row>
    <row r="334" spans="1:15" ht="14.5" customHeight="1" x14ac:dyDescent="0.35">
      <c r="A334" s="20" t="s">
        <v>720</v>
      </c>
      <c r="B334" s="15" t="s">
        <v>721</v>
      </c>
      <c r="C334" s="15" t="s">
        <v>3108</v>
      </c>
      <c r="D334" s="16" t="s">
        <v>43</v>
      </c>
      <c r="E334" s="15" t="s">
        <v>207</v>
      </c>
      <c r="F334" s="15" t="s">
        <v>208</v>
      </c>
      <c r="G334" s="17" t="str">
        <f t="shared" si="5"/>
        <v>Small</v>
      </c>
      <c r="H334" s="3">
        <v>9548</v>
      </c>
      <c r="I334" s="4">
        <v>37.299999999999997</v>
      </c>
      <c r="J334" s="5">
        <v>136419.84206116464</v>
      </c>
      <c r="K334" s="6">
        <v>3.042557761361175E-3</v>
      </c>
      <c r="L334" s="5">
        <v>459.88500209467952</v>
      </c>
      <c r="M334" s="5">
        <v>211.62518223711771</v>
      </c>
      <c r="N334" s="11">
        <v>869.95810640971933</v>
      </c>
      <c r="O334" s="13">
        <v>2024</v>
      </c>
    </row>
    <row r="335" spans="1:15" ht="14.5" customHeight="1" x14ac:dyDescent="0.35">
      <c r="A335" s="20" t="s">
        <v>722</v>
      </c>
      <c r="B335" s="15" t="s">
        <v>723</v>
      </c>
      <c r="C335" s="15" t="s">
        <v>3108</v>
      </c>
      <c r="D335" s="16" t="s">
        <v>338</v>
      </c>
      <c r="E335" s="15" t="s">
        <v>214</v>
      </c>
      <c r="F335" s="15" t="s">
        <v>170</v>
      </c>
      <c r="G335" s="17" t="str">
        <f t="shared" si="5"/>
        <v>Small</v>
      </c>
      <c r="H335" s="3">
        <v>1806</v>
      </c>
      <c r="I335" s="4">
        <v>19.7</v>
      </c>
      <c r="J335" s="5">
        <v>81683.222037652275</v>
      </c>
      <c r="K335" s="6">
        <v>2.5829975656368907E-3</v>
      </c>
      <c r="L335" s="5">
        <v>291.98763565891477</v>
      </c>
      <c r="M335" s="5">
        <v>987.94961240310079</v>
      </c>
      <c r="N335" s="11">
        <v>719.20256921373209</v>
      </c>
      <c r="O335" s="13">
        <v>2024</v>
      </c>
    </row>
    <row r="336" spans="1:15" ht="14.5" customHeight="1" x14ac:dyDescent="0.35">
      <c r="A336" s="20" t="s">
        <v>724</v>
      </c>
      <c r="B336" s="15" t="s">
        <v>496</v>
      </c>
      <c r="C336" s="15" t="s">
        <v>3108</v>
      </c>
      <c r="D336" s="16" t="s">
        <v>496</v>
      </c>
      <c r="E336" s="15" t="s">
        <v>169</v>
      </c>
      <c r="F336" s="15" t="s">
        <v>170</v>
      </c>
      <c r="G336" s="17" t="str">
        <f t="shared" si="5"/>
        <v>Small</v>
      </c>
      <c r="H336" s="3">
        <v>621</v>
      </c>
      <c r="I336" s="4">
        <v>31.6</v>
      </c>
      <c r="J336" s="5">
        <v>288623.28341384861</v>
      </c>
      <c r="K336" s="6">
        <v>4.5406574168059387E-3</v>
      </c>
      <c r="L336" s="5">
        <v>1391.3457004830916</v>
      </c>
      <c r="M336" s="5">
        <v>2105.1401771336555</v>
      </c>
      <c r="N336" s="11">
        <v>3846.7468599033814</v>
      </c>
      <c r="O336" s="13">
        <v>2024</v>
      </c>
    </row>
    <row r="337" spans="1:15" ht="14.5" customHeight="1" x14ac:dyDescent="0.35">
      <c r="A337" s="20" t="s">
        <v>725</v>
      </c>
      <c r="B337" s="15" t="s">
        <v>726</v>
      </c>
      <c r="C337" s="15" t="s">
        <v>3108</v>
      </c>
      <c r="D337" s="16" t="s">
        <v>13</v>
      </c>
      <c r="E337" s="15" t="s">
        <v>186</v>
      </c>
      <c r="F337" s="15" t="s">
        <v>170</v>
      </c>
      <c r="G337" s="17" t="str">
        <f t="shared" si="5"/>
        <v>Medium</v>
      </c>
      <c r="H337" s="3">
        <v>15308</v>
      </c>
      <c r="I337" s="4">
        <v>41.5</v>
      </c>
      <c r="J337" s="5">
        <v>102636.34994773974</v>
      </c>
      <c r="K337" s="6">
        <v>7.7833201284700183E-3</v>
      </c>
      <c r="L337" s="5">
        <v>960.7803703945649</v>
      </c>
      <c r="M337" s="5">
        <v>977.63261039979091</v>
      </c>
      <c r="N337" s="11">
        <v>1424.0219251371832</v>
      </c>
      <c r="O337" s="13">
        <v>2024</v>
      </c>
    </row>
    <row r="338" spans="1:15" ht="14.5" customHeight="1" x14ac:dyDescent="0.35">
      <c r="A338" s="20" t="s">
        <v>727</v>
      </c>
      <c r="B338" s="15" t="s">
        <v>728</v>
      </c>
      <c r="C338" s="15" t="s">
        <v>3108</v>
      </c>
      <c r="D338" s="16" t="s">
        <v>69</v>
      </c>
      <c r="E338" s="15" t="s">
        <v>173</v>
      </c>
      <c r="F338" s="15" t="s">
        <v>170</v>
      </c>
      <c r="G338" s="17" t="str">
        <f t="shared" si="5"/>
        <v>Small</v>
      </c>
      <c r="H338" s="3">
        <v>845</v>
      </c>
      <c r="I338" s="4">
        <v>32.1</v>
      </c>
      <c r="J338" s="5">
        <v>100963.89349112425</v>
      </c>
      <c r="K338" s="6">
        <v>6.6244550017236226E-3</v>
      </c>
      <c r="L338" s="5">
        <v>788.50650887573966</v>
      </c>
      <c r="M338" s="5">
        <v>0</v>
      </c>
      <c r="N338" s="11">
        <v>1100.7751479289941</v>
      </c>
      <c r="O338" s="13">
        <v>2024</v>
      </c>
    </row>
    <row r="339" spans="1:15" ht="14.5" customHeight="1" x14ac:dyDescent="0.35">
      <c r="A339" s="20" t="s">
        <v>729</v>
      </c>
      <c r="B339" s="15" t="s">
        <v>730</v>
      </c>
      <c r="C339" s="15" t="s">
        <v>3108</v>
      </c>
      <c r="D339" s="16" t="s">
        <v>89</v>
      </c>
      <c r="E339" s="15" t="s">
        <v>183</v>
      </c>
      <c r="F339" s="15" t="s">
        <v>170</v>
      </c>
      <c r="G339" s="17" t="str">
        <f t="shared" si="5"/>
        <v>Small</v>
      </c>
      <c r="H339" s="3">
        <v>2006</v>
      </c>
      <c r="I339" s="4">
        <v>46.5</v>
      </c>
      <c r="J339" s="5">
        <v>91317.288135593219</v>
      </c>
      <c r="K339" s="6">
        <v>6.5006910595380085E-3</v>
      </c>
      <c r="L339" s="5">
        <v>595.42338983050854</v>
      </c>
      <c r="M339" s="5">
        <v>0</v>
      </c>
      <c r="N339" s="11">
        <v>826.24398305084742</v>
      </c>
      <c r="O339" s="13">
        <v>2024</v>
      </c>
    </row>
    <row r="340" spans="1:15" ht="14.5" customHeight="1" x14ac:dyDescent="0.35">
      <c r="A340" s="20" t="s">
        <v>731</v>
      </c>
      <c r="B340" s="15" t="s">
        <v>732</v>
      </c>
      <c r="C340" s="15" t="s">
        <v>3108</v>
      </c>
      <c r="D340" s="16" t="s">
        <v>46</v>
      </c>
      <c r="E340" s="15" t="s">
        <v>214</v>
      </c>
      <c r="F340" s="15" t="s">
        <v>170</v>
      </c>
      <c r="G340" s="17" t="str">
        <f t="shared" si="5"/>
        <v>Small</v>
      </c>
      <c r="H340" s="3">
        <v>1475</v>
      </c>
      <c r="I340" s="4">
        <v>41.3</v>
      </c>
      <c r="J340" s="5">
        <v>93705.442033898304</v>
      </c>
      <c r="K340" s="6">
        <v>1.9584268560506953E-3</v>
      </c>
      <c r="L340" s="5">
        <v>488.57288135593222</v>
      </c>
      <c r="M340" s="5">
        <v>0</v>
      </c>
      <c r="N340" s="11">
        <v>1106.7593220338983</v>
      </c>
      <c r="O340" s="13">
        <v>2024</v>
      </c>
    </row>
    <row r="341" spans="1:15" ht="14.5" customHeight="1" x14ac:dyDescent="0.35">
      <c r="A341" s="20" t="s">
        <v>733</v>
      </c>
      <c r="B341" s="15" t="s">
        <v>734</v>
      </c>
      <c r="C341" s="15" t="s">
        <v>3108</v>
      </c>
      <c r="D341" s="16" t="s">
        <v>324</v>
      </c>
      <c r="E341" s="15" t="s">
        <v>207</v>
      </c>
      <c r="F341" s="15" t="s">
        <v>208</v>
      </c>
      <c r="G341" s="17" t="str">
        <f t="shared" si="5"/>
        <v>Medium</v>
      </c>
      <c r="H341" s="3">
        <v>14192</v>
      </c>
      <c r="I341" s="4">
        <v>77.599999999999994</v>
      </c>
      <c r="J341" s="5">
        <v>115296.510921646</v>
      </c>
      <c r="K341" s="6">
        <v>8.0109044343629806E-3</v>
      </c>
      <c r="L341" s="5">
        <v>935.10144940811722</v>
      </c>
      <c r="M341" s="5">
        <v>1973.0904065670802</v>
      </c>
      <c r="N341" s="11">
        <v>2131.2628734498307</v>
      </c>
      <c r="O341" s="13">
        <v>2024</v>
      </c>
    </row>
    <row r="342" spans="1:15" ht="14.5" customHeight="1" x14ac:dyDescent="0.35">
      <c r="A342" s="20" t="s">
        <v>735</v>
      </c>
      <c r="B342" s="15" t="s">
        <v>736</v>
      </c>
      <c r="C342" s="15" t="s">
        <v>3108</v>
      </c>
      <c r="D342" s="16" t="s">
        <v>65</v>
      </c>
      <c r="E342" s="15" t="s">
        <v>186</v>
      </c>
      <c r="F342" s="15" t="s">
        <v>170</v>
      </c>
      <c r="G342" s="17" t="str">
        <f t="shared" si="5"/>
        <v>Small</v>
      </c>
      <c r="H342" s="3">
        <v>1073</v>
      </c>
      <c r="I342" s="4">
        <v>47.8</v>
      </c>
      <c r="J342" s="5">
        <v>104209.75023299162</v>
      </c>
      <c r="K342" s="6">
        <v>4.9403283373694795E-3</v>
      </c>
      <c r="L342" s="5">
        <v>792.3139235787512</v>
      </c>
      <c r="M342" s="5">
        <v>225.94706430568502</v>
      </c>
      <c r="N342" s="11">
        <v>1439.9478471575023</v>
      </c>
      <c r="O342" s="13">
        <v>2024</v>
      </c>
    </row>
    <row r="343" spans="1:15" ht="14.5" customHeight="1" x14ac:dyDescent="0.35">
      <c r="A343" s="20" t="s">
        <v>737</v>
      </c>
      <c r="B343" s="15" t="s">
        <v>738</v>
      </c>
      <c r="C343" s="15" t="s">
        <v>3108</v>
      </c>
      <c r="D343" s="16" t="s">
        <v>15</v>
      </c>
      <c r="E343" s="15" t="s">
        <v>178</v>
      </c>
      <c r="F343" s="15" t="s">
        <v>170</v>
      </c>
      <c r="G343" s="17" t="str">
        <f t="shared" si="5"/>
        <v>Medium</v>
      </c>
      <c r="H343" s="3">
        <v>14170</v>
      </c>
      <c r="I343" s="4">
        <v>39.4</v>
      </c>
      <c r="J343" s="5">
        <v>103705.08122794637</v>
      </c>
      <c r="K343" s="6">
        <v>1.4274478197514339E-3</v>
      </c>
      <c r="L343" s="5">
        <v>518.37780169371911</v>
      </c>
      <c r="M343" s="5">
        <v>280.15681016231474</v>
      </c>
      <c r="N343" s="11">
        <v>1228.8084841213831</v>
      </c>
      <c r="O343" s="13">
        <v>2024</v>
      </c>
    </row>
    <row r="344" spans="1:15" ht="14.5" customHeight="1" x14ac:dyDescent="0.35">
      <c r="A344" s="20" t="s">
        <v>739</v>
      </c>
      <c r="B344" s="15" t="s">
        <v>740</v>
      </c>
      <c r="C344" s="15" t="s">
        <v>3108</v>
      </c>
      <c r="D344" s="16" t="s">
        <v>588</v>
      </c>
      <c r="E344" s="15" t="s">
        <v>178</v>
      </c>
      <c r="F344" s="15" t="s">
        <v>170</v>
      </c>
      <c r="G344" s="17" t="str">
        <f t="shared" si="5"/>
        <v>Small</v>
      </c>
      <c r="H344" s="3">
        <v>3657</v>
      </c>
      <c r="I344" s="4">
        <v>54.8</v>
      </c>
      <c r="J344" s="5">
        <v>131115.38939021056</v>
      </c>
      <c r="K344" s="6" t="s">
        <v>27</v>
      </c>
      <c r="L344" s="5">
        <v>0</v>
      </c>
      <c r="M344" s="5">
        <v>0</v>
      </c>
      <c r="N344" s="11">
        <v>0</v>
      </c>
      <c r="O344" s="13">
        <v>2024</v>
      </c>
    </row>
    <row r="345" spans="1:15" ht="14.5" customHeight="1" x14ac:dyDescent="0.35">
      <c r="A345" s="20" t="s">
        <v>741</v>
      </c>
      <c r="B345" s="15" t="s">
        <v>742</v>
      </c>
      <c r="C345" s="15" t="s">
        <v>3108</v>
      </c>
      <c r="D345" s="16" t="s">
        <v>67</v>
      </c>
      <c r="E345" s="15" t="s">
        <v>183</v>
      </c>
      <c r="F345" s="15" t="s">
        <v>170</v>
      </c>
      <c r="G345" s="17" t="str">
        <f t="shared" si="5"/>
        <v>Small</v>
      </c>
      <c r="H345" s="3">
        <v>1668</v>
      </c>
      <c r="I345" s="4">
        <v>31.1</v>
      </c>
      <c r="J345" s="5">
        <v>87489.531774580333</v>
      </c>
      <c r="K345" s="6">
        <v>3.794692491439486E-3</v>
      </c>
      <c r="L345" s="5">
        <v>572.7920323741007</v>
      </c>
      <c r="M345" s="5">
        <v>105.46550359712229</v>
      </c>
      <c r="N345" s="11">
        <v>813.22596522781771</v>
      </c>
      <c r="O345" s="13">
        <v>2024</v>
      </c>
    </row>
    <row r="346" spans="1:15" ht="14.5" customHeight="1" x14ac:dyDescent="0.35">
      <c r="A346" s="20" t="s">
        <v>743</v>
      </c>
      <c r="B346" s="15" t="s">
        <v>744</v>
      </c>
      <c r="C346" s="15" t="s">
        <v>3108</v>
      </c>
      <c r="D346" s="16" t="s">
        <v>11</v>
      </c>
      <c r="E346" s="15" t="s">
        <v>173</v>
      </c>
      <c r="F346" s="15" t="s">
        <v>170</v>
      </c>
      <c r="G346" s="17" t="str">
        <f t="shared" si="5"/>
        <v>Small</v>
      </c>
      <c r="H346" s="3">
        <v>6429</v>
      </c>
      <c r="I346" s="4">
        <v>32.799999999999997</v>
      </c>
      <c r="J346" s="5">
        <v>60266.664800124439</v>
      </c>
      <c r="K346" s="6">
        <v>2.3417367775429607E-3</v>
      </c>
      <c r="L346" s="5">
        <v>504.727125524965</v>
      </c>
      <c r="M346" s="5">
        <v>137.88240783947737</v>
      </c>
      <c r="N346" s="11">
        <v>636.33051796546897</v>
      </c>
      <c r="O346" s="13">
        <v>2024</v>
      </c>
    </row>
    <row r="347" spans="1:15" ht="14.5" customHeight="1" x14ac:dyDescent="0.35">
      <c r="A347" s="20" t="s">
        <v>745</v>
      </c>
      <c r="B347" s="15" t="s">
        <v>746</v>
      </c>
      <c r="C347" s="15" t="s">
        <v>3108</v>
      </c>
      <c r="D347" s="16" t="s">
        <v>63</v>
      </c>
      <c r="E347" s="15" t="s">
        <v>169</v>
      </c>
      <c r="F347" s="15" t="s">
        <v>170</v>
      </c>
      <c r="G347" s="17" t="str">
        <f t="shared" si="5"/>
        <v>Small</v>
      </c>
      <c r="H347" s="3">
        <v>1304</v>
      </c>
      <c r="I347" s="4">
        <v>166.8</v>
      </c>
      <c r="J347" s="5">
        <v>142938.14647239263</v>
      </c>
      <c r="K347" s="6">
        <v>7.2144391384099844E-3</v>
      </c>
      <c r="L347" s="5">
        <v>1059.9196395705521</v>
      </c>
      <c r="M347" s="5">
        <v>3293.282208588957</v>
      </c>
      <c r="N347" s="11">
        <v>1793.2749769938648</v>
      </c>
      <c r="O347" s="13">
        <v>2024</v>
      </c>
    </row>
    <row r="348" spans="1:15" ht="14.5" customHeight="1" x14ac:dyDescent="0.35">
      <c r="A348" s="20" t="s">
        <v>747</v>
      </c>
      <c r="B348" s="15" t="s">
        <v>748</v>
      </c>
      <c r="C348" s="15" t="s">
        <v>3108</v>
      </c>
      <c r="D348" s="16" t="s">
        <v>9</v>
      </c>
      <c r="E348" s="15" t="s">
        <v>207</v>
      </c>
      <c r="F348" s="15" t="s">
        <v>208</v>
      </c>
      <c r="G348" s="17" t="str">
        <f t="shared" si="5"/>
        <v>Medium</v>
      </c>
      <c r="H348" s="3">
        <v>24226</v>
      </c>
      <c r="I348" s="4">
        <v>27.3</v>
      </c>
      <c r="J348" s="5">
        <v>143038.92557582763</v>
      </c>
      <c r="K348" s="6" t="s">
        <v>27</v>
      </c>
      <c r="L348" s="5">
        <v>0</v>
      </c>
      <c r="M348" s="5">
        <v>0</v>
      </c>
      <c r="N348" s="11">
        <v>0</v>
      </c>
      <c r="O348" s="13">
        <v>2024</v>
      </c>
    </row>
    <row r="349" spans="1:15" ht="14.5" customHeight="1" x14ac:dyDescent="0.35">
      <c r="A349" s="20" t="s">
        <v>749</v>
      </c>
      <c r="B349" s="15" t="s">
        <v>750</v>
      </c>
      <c r="C349" s="15" t="s">
        <v>3108</v>
      </c>
      <c r="D349" s="16" t="s">
        <v>5</v>
      </c>
      <c r="E349" s="15" t="s">
        <v>183</v>
      </c>
      <c r="F349" s="15" t="s">
        <v>170</v>
      </c>
      <c r="G349" s="17" t="str">
        <f t="shared" si="5"/>
        <v>Small</v>
      </c>
      <c r="H349" s="3">
        <v>2477</v>
      </c>
      <c r="I349" s="4">
        <v>21.8</v>
      </c>
      <c r="J349" s="5">
        <v>133591.25191764231</v>
      </c>
      <c r="K349" s="6">
        <v>9.3380125459432113E-6</v>
      </c>
      <c r="L349" s="5">
        <v>716.66853855470322</v>
      </c>
      <c r="M349" s="5">
        <v>935.89664917238599</v>
      </c>
      <c r="N349" s="11">
        <v>882.81808235769086</v>
      </c>
      <c r="O349" s="13">
        <v>2024</v>
      </c>
    </row>
    <row r="350" spans="1:15" ht="14.5" customHeight="1" x14ac:dyDescent="0.35">
      <c r="A350" s="20" t="s">
        <v>751</v>
      </c>
      <c r="B350" s="15" t="s">
        <v>752</v>
      </c>
      <c r="C350" s="15" t="s">
        <v>3108</v>
      </c>
      <c r="D350" s="16" t="s">
        <v>81</v>
      </c>
      <c r="E350" s="15" t="s">
        <v>214</v>
      </c>
      <c r="F350" s="15" t="s">
        <v>170</v>
      </c>
      <c r="G350" s="17" t="str">
        <f t="shared" si="5"/>
        <v>Small</v>
      </c>
      <c r="H350" s="3">
        <v>1284</v>
      </c>
      <c r="I350" s="4">
        <v>54.9</v>
      </c>
      <c r="J350" s="5">
        <v>77450.790498442366</v>
      </c>
      <c r="K350" s="6">
        <v>3.4028943008380915E-3</v>
      </c>
      <c r="L350" s="5">
        <v>512.02570093457939</v>
      </c>
      <c r="M350" s="5">
        <v>0</v>
      </c>
      <c r="N350" s="11">
        <v>680.99065420560748</v>
      </c>
      <c r="O350" s="13">
        <v>2024</v>
      </c>
    </row>
    <row r="351" spans="1:15" ht="14.5" customHeight="1" x14ac:dyDescent="0.35">
      <c r="A351" s="20" t="s">
        <v>753</v>
      </c>
      <c r="B351" s="15" t="s">
        <v>754</v>
      </c>
      <c r="C351" s="15" t="s">
        <v>3108</v>
      </c>
      <c r="D351" s="16" t="s">
        <v>3</v>
      </c>
      <c r="E351" s="15" t="s">
        <v>214</v>
      </c>
      <c r="F351" s="15" t="s">
        <v>170</v>
      </c>
      <c r="G351" s="17" t="str">
        <f t="shared" si="5"/>
        <v>Small</v>
      </c>
      <c r="H351" s="3">
        <v>2667</v>
      </c>
      <c r="I351" s="4">
        <v>50.1</v>
      </c>
      <c r="J351" s="5">
        <v>147345.30783652043</v>
      </c>
      <c r="K351" s="6">
        <v>7.7728592448863567E-4</v>
      </c>
      <c r="L351" s="5">
        <v>833.39518185226837</v>
      </c>
      <c r="M351" s="5">
        <v>0</v>
      </c>
      <c r="N351" s="11">
        <v>1555.2637757780278</v>
      </c>
      <c r="O351" s="13">
        <v>2024</v>
      </c>
    </row>
    <row r="352" spans="1:15" ht="14.5" customHeight="1" x14ac:dyDescent="0.35">
      <c r="A352" s="20" t="s">
        <v>755</v>
      </c>
      <c r="B352" s="15" t="s">
        <v>756</v>
      </c>
      <c r="C352" s="15" t="s">
        <v>3108</v>
      </c>
      <c r="D352" s="16" t="s">
        <v>81</v>
      </c>
      <c r="E352" s="15" t="s">
        <v>214</v>
      </c>
      <c r="F352" s="15" t="s">
        <v>170</v>
      </c>
      <c r="G352" s="17" t="str">
        <f t="shared" si="5"/>
        <v>Small</v>
      </c>
      <c r="H352" s="3">
        <v>3733</v>
      </c>
      <c r="I352" s="4">
        <v>34.6</v>
      </c>
      <c r="J352" s="5">
        <v>80757.600053576214</v>
      </c>
      <c r="K352" s="6">
        <v>1.8175785823801914E-3</v>
      </c>
      <c r="L352" s="5">
        <v>582.10450308063218</v>
      </c>
      <c r="M352" s="5">
        <v>129.17843289579429</v>
      </c>
      <c r="N352" s="11">
        <v>873.66162603803912</v>
      </c>
      <c r="O352" s="13">
        <v>2024</v>
      </c>
    </row>
    <row r="353" spans="1:15" ht="14.5" customHeight="1" x14ac:dyDescent="0.35">
      <c r="A353" s="20" t="s">
        <v>757</v>
      </c>
      <c r="B353" s="15" t="s">
        <v>758</v>
      </c>
      <c r="C353" s="15" t="s">
        <v>3108</v>
      </c>
      <c r="D353" s="16" t="s">
        <v>324</v>
      </c>
      <c r="E353" s="15" t="s">
        <v>207</v>
      </c>
      <c r="F353" s="15" t="s">
        <v>208</v>
      </c>
      <c r="G353" s="17" t="str">
        <f t="shared" si="5"/>
        <v>Small</v>
      </c>
      <c r="H353" s="3">
        <v>808</v>
      </c>
      <c r="I353" s="4">
        <v>54.8</v>
      </c>
      <c r="J353" s="5">
        <v>386944.96287128713</v>
      </c>
      <c r="K353" s="6">
        <v>3.7203688080464535E-3</v>
      </c>
      <c r="L353" s="5">
        <v>1491.8378712871288</v>
      </c>
      <c r="M353" s="5">
        <v>0</v>
      </c>
      <c r="N353" s="11">
        <v>1907.4690594059407</v>
      </c>
      <c r="O353" s="13">
        <v>2024</v>
      </c>
    </row>
    <row r="354" spans="1:15" ht="14.5" customHeight="1" x14ac:dyDescent="0.35">
      <c r="A354" s="20" t="s">
        <v>759</v>
      </c>
      <c r="B354" s="15" t="s">
        <v>760</v>
      </c>
      <c r="C354" s="15" t="s">
        <v>3108</v>
      </c>
      <c r="D354" s="16" t="s">
        <v>81</v>
      </c>
      <c r="E354" s="15" t="s">
        <v>214</v>
      </c>
      <c r="F354" s="15" t="s">
        <v>170</v>
      </c>
      <c r="G354" s="17" t="str">
        <f t="shared" si="5"/>
        <v>Small</v>
      </c>
      <c r="H354" s="3">
        <v>1477</v>
      </c>
      <c r="I354" s="4">
        <v>76.900000000000006</v>
      </c>
      <c r="J354" s="5">
        <v>277183.73121191602</v>
      </c>
      <c r="K354" s="6">
        <v>1.5628373722211405E-3</v>
      </c>
      <c r="L354" s="5">
        <v>1477.7275490859849</v>
      </c>
      <c r="M354" s="5">
        <v>355.29098849018283</v>
      </c>
      <c r="N354" s="11">
        <v>1641.9660731211916</v>
      </c>
      <c r="O354" s="13">
        <v>2024</v>
      </c>
    </row>
    <row r="355" spans="1:15" ht="14.5" customHeight="1" x14ac:dyDescent="0.35">
      <c r="A355" s="20" t="s">
        <v>761</v>
      </c>
      <c r="B355" s="15" t="s">
        <v>762</v>
      </c>
      <c r="C355" s="15" t="s">
        <v>3108</v>
      </c>
      <c r="D355" s="16" t="s">
        <v>237</v>
      </c>
      <c r="E355" s="15" t="s">
        <v>217</v>
      </c>
      <c r="F355" s="15" t="s">
        <v>170</v>
      </c>
      <c r="G355" s="17" t="str">
        <f t="shared" si="5"/>
        <v>Small</v>
      </c>
      <c r="H355" s="3">
        <v>5812</v>
      </c>
      <c r="I355" s="4">
        <v>109</v>
      </c>
      <c r="J355" s="5">
        <v>165824.94786648313</v>
      </c>
      <c r="K355" s="6">
        <v>2.5498659205685625E-3</v>
      </c>
      <c r="L355" s="5">
        <v>465.05764108740533</v>
      </c>
      <c r="M355" s="5">
        <v>221.94842222986924</v>
      </c>
      <c r="N355" s="11">
        <v>640.16464211975222</v>
      </c>
      <c r="O355" s="13">
        <v>2024</v>
      </c>
    </row>
    <row r="356" spans="1:15" ht="14.5" customHeight="1" x14ac:dyDescent="0.35">
      <c r="A356" s="20" t="s">
        <v>763</v>
      </c>
      <c r="B356" s="15" t="s">
        <v>764</v>
      </c>
      <c r="C356" s="15" t="s">
        <v>3108</v>
      </c>
      <c r="D356" s="16" t="s">
        <v>282</v>
      </c>
      <c r="E356" s="15" t="s">
        <v>169</v>
      </c>
      <c r="F356" s="15" t="s">
        <v>170</v>
      </c>
      <c r="G356" s="17" t="str">
        <f t="shared" si="5"/>
        <v>Small</v>
      </c>
      <c r="H356" s="3">
        <v>1531</v>
      </c>
      <c r="I356" s="4">
        <v>36.700000000000003</v>
      </c>
      <c r="J356" s="5">
        <v>58838.768778576094</v>
      </c>
      <c r="K356" s="6">
        <v>6.6218997536193489E-3</v>
      </c>
      <c r="L356" s="5">
        <v>398.78902677988242</v>
      </c>
      <c r="M356" s="5">
        <v>41.149575440888306</v>
      </c>
      <c r="N356" s="11">
        <v>1053.2207707380796</v>
      </c>
      <c r="O356" s="13">
        <v>2024</v>
      </c>
    </row>
    <row r="357" spans="1:15" ht="14.5" customHeight="1" x14ac:dyDescent="0.35">
      <c r="A357" s="20" t="s">
        <v>765</v>
      </c>
      <c r="B357" s="15" t="s">
        <v>766</v>
      </c>
      <c r="C357" s="15" t="s">
        <v>3108</v>
      </c>
      <c r="D357" s="16" t="s">
        <v>237</v>
      </c>
      <c r="E357" s="15" t="s">
        <v>217</v>
      </c>
      <c r="F357" s="15" t="s">
        <v>170</v>
      </c>
      <c r="G357" s="17" t="str">
        <f t="shared" si="5"/>
        <v>Small</v>
      </c>
      <c r="H357" s="3">
        <v>5991</v>
      </c>
      <c r="I357" s="4">
        <v>26.6</v>
      </c>
      <c r="J357" s="5">
        <v>78483.76548155566</v>
      </c>
      <c r="K357" s="6">
        <v>2.7223888534761336E-3</v>
      </c>
      <c r="L357" s="5">
        <v>236.93590218661325</v>
      </c>
      <c r="M357" s="5">
        <v>53.619883158070436</v>
      </c>
      <c r="N357" s="11">
        <v>379.19543314972458</v>
      </c>
      <c r="O357" s="13">
        <v>2024</v>
      </c>
    </row>
    <row r="358" spans="1:15" ht="14.5" customHeight="1" x14ac:dyDescent="0.35">
      <c r="A358" s="20" t="s">
        <v>767</v>
      </c>
      <c r="B358" s="15" t="s">
        <v>768</v>
      </c>
      <c r="C358" s="15" t="s">
        <v>3108</v>
      </c>
      <c r="D358" s="16" t="s">
        <v>63</v>
      </c>
      <c r="E358" s="15" t="s">
        <v>169</v>
      </c>
      <c r="F358" s="15" t="s">
        <v>170</v>
      </c>
      <c r="G358" s="17" t="str">
        <f t="shared" si="5"/>
        <v>Small</v>
      </c>
      <c r="H358" s="3">
        <v>2142</v>
      </c>
      <c r="I358" s="4">
        <v>59.3</v>
      </c>
      <c r="J358" s="5">
        <v>95878.437908496737</v>
      </c>
      <c r="K358" s="6">
        <v>3.6508891632901124E-3</v>
      </c>
      <c r="L358" s="5">
        <v>695.71163865546225</v>
      </c>
      <c r="M358" s="5">
        <v>0</v>
      </c>
      <c r="N358" s="11">
        <v>826.76255368814191</v>
      </c>
      <c r="O358" s="13">
        <v>2024</v>
      </c>
    </row>
    <row r="359" spans="1:15" ht="14.5" customHeight="1" x14ac:dyDescent="0.35">
      <c r="A359" s="20" t="s">
        <v>769</v>
      </c>
      <c r="B359" s="15" t="s">
        <v>770</v>
      </c>
      <c r="C359" s="15" t="s">
        <v>3108</v>
      </c>
      <c r="D359" s="16" t="s">
        <v>46</v>
      </c>
      <c r="E359" s="15" t="s">
        <v>214</v>
      </c>
      <c r="F359" s="15" t="s">
        <v>170</v>
      </c>
      <c r="G359" s="17" t="str">
        <f t="shared" si="5"/>
        <v>Small</v>
      </c>
      <c r="H359" s="3">
        <v>7011</v>
      </c>
      <c r="I359" s="4">
        <v>36.4</v>
      </c>
      <c r="J359" s="5">
        <v>80008.171444872351</v>
      </c>
      <c r="K359" s="6">
        <v>5.2548565633780556E-3</v>
      </c>
      <c r="L359" s="5">
        <v>551.65054913707036</v>
      </c>
      <c r="M359" s="5">
        <v>418.60119811724434</v>
      </c>
      <c r="N359" s="11">
        <v>762.81852660105551</v>
      </c>
      <c r="O359" s="13">
        <v>2024</v>
      </c>
    </row>
    <row r="360" spans="1:15" ht="14.5" customHeight="1" x14ac:dyDescent="0.35">
      <c r="A360" s="20" t="s">
        <v>771</v>
      </c>
      <c r="B360" s="15" t="s">
        <v>282</v>
      </c>
      <c r="C360" s="15" t="s">
        <v>3108</v>
      </c>
      <c r="D360" s="16" t="s">
        <v>220</v>
      </c>
      <c r="E360" s="15" t="s">
        <v>173</v>
      </c>
      <c r="F360" s="15" t="s">
        <v>170</v>
      </c>
      <c r="G360" s="17" t="str">
        <f t="shared" si="5"/>
        <v>Small</v>
      </c>
      <c r="H360" s="3">
        <v>2288</v>
      </c>
      <c r="I360" s="4">
        <v>81.3</v>
      </c>
      <c r="J360" s="5">
        <v>135198.60751748251</v>
      </c>
      <c r="K360" s="6">
        <v>4.477031773128224E-3</v>
      </c>
      <c r="L360" s="5">
        <v>609.85249562937065</v>
      </c>
      <c r="M360" s="5">
        <v>0</v>
      </c>
      <c r="N360" s="11">
        <v>1017.7913592657342</v>
      </c>
      <c r="O360" s="13">
        <v>2024</v>
      </c>
    </row>
    <row r="361" spans="1:15" ht="14.5" customHeight="1" x14ac:dyDescent="0.35">
      <c r="A361" s="20" t="s">
        <v>772</v>
      </c>
      <c r="B361" s="15" t="s">
        <v>282</v>
      </c>
      <c r="C361" s="15" t="s">
        <v>3108</v>
      </c>
      <c r="D361" s="16" t="s">
        <v>282</v>
      </c>
      <c r="E361" s="15" t="s">
        <v>169</v>
      </c>
      <c r="F361" s="15" t="s">
        <v>170</v>
      </c>
      <c r="G361" s="17" t="str">
        <f t="shared" si="5"/>
        <v>Small</v>
      </c>
      <c r="H361" s="3">
        <v>1150</v>
      </c>
      <c r="I361" s="4">
        <v>169.8</v>
      </c>
      <c r="J361" s="5">
        <v>310453.7</v>
      </c>
      <c r="K361" s="6">
        <v>3.9692035013384544E-3</v>
      </c>
      <c r="L361" s="5">
        <v>1232.8478260869565</v>
      </c>
      <c r="M361" s="5">
        <v>0</v>
      </c>
      <c r="N361" s="11">
        <v>3158.9026086956524</v>
      </c>
      <c r="O361" s="13">
        <v>2024</v>
      </c>
    </row>
    <row r="362" spans="1:15" ht="14.5" customHeight="1" x14ac:dyDescent="0.35">
      <c r="A362" s="20" t="s">
        <v>773</v>
      </c>
      <c r="B362" s="15" t="s">
        <v>774</v>
      </c>
      <c r="C362" s="15" t="s">
        <v>3108</v>
      </c>
      <c r="D362" s="16" t="s">
        <v>65</v>
      </c>
      <c r="E362" s="15" t="s">
        <v>186</v>
      </c>
      <c r="F362" s="15" t="s">
        <v>170</v>
      </c>
      <c r="G362" s="17" t="str">
        <f t="shared" si="5"/>
        <v>Small</v>
      </c>
      <c r="H362" s="3">
        <v>2802</v>
      </c>
      <c r="I362" s="4">
        <v>51.8</v>
      </c>
      <c r="J362" s="5">
        <v>70347.262312633829</v>
      </c>
      <c r="K362" s="6">
        <v>4.2668887199739597E-3</v>
      </c>
      <c r="L362" s="5">
        <v>423.9531584582441</v>
      </c>
      <c r="M362" s="5">
        <v>132.98415774446823</v>
      </c>
      <c r="N362" s="11">
        <v>590.74738044254104</v>
      </c>
      <c r="O362" s="13">
        <v>2024</v>
      </c>
    </row>
    <row r="363" spans="1:15" ht="14.5" customHeight="1" x14ac:dyDescent="0.35">
      <c r="A363" s="20" t="s">
        <v>775</v>
      </c>
      <c r="B363" s="15" t="s">
        <v>776</v>
      </c>
      <c r="C363" s="15" t="s">
        <v>3108</v>
      </c>
      <c r="D363" s="16" t="s">
        <v>65</v>
      </c>
      <c r="E363" s="15" t="s">
        <v>186</v>
      </c>
      <c r="F363" s="15" t="s">
        <v>170</v>
      </c>
      <c r="G363" s="17" t="str">
        <f t="shared" si="5"/>
        <v>Small</v>
      </c>
      <c r="H363" s="3">
        <v>2261</v>
      </c>
      <c r="I363" s="4">
        <v>41</v>
      </c>
      <c r="J363" s="5">
        <v>75089.94869526758</v>
      </c>
      <c r="K363" s="6">
        <v>3.6080449209626659E-3</v>
      </c>
      <c r="L363" s="5">
        <v>479.9612030075188</v>
      </c>
      <c r="M363" s="5">
        <v>0</v>
      </c>
      <c r="N363" s="11">
        <v>637.03260946483852</v>
      </c>
      <c r="O363" s="13">
        <v>2024</v>
      </c>
    </row>
    <row r="364" spans="1:15" ht="14.5" customHeight="1" x14ac:dyDescent="0.35">
      <c r="A364" s="20" t="s">
        <v>777</v>
      </c>
      <c r="B364" s="15" t="s">
        <v>778</v>
      </c>
      <c r="C364" s="15" t="s">
        <v>3108</v>
      </c>
      <c r="D364" s="16" t="s">
        <v>20</v>
      </c>
      <c r="E364" s="15" t="s">
        <v>183</v>
      </c>
      <c r="F364" s="15" t="s">
        <v>170</v>
      </c>
      <c r="G364" s="17" t="str">
        <f t="shared" si="5"/>
        <v>Small</v>
      </c>
      <c r="H364" s="3">
        <v>767</v>
      </c>
      <c r="I364" s="4">
        <v>25.5</v>
      </c>
      <c r="J364" s="5">
        <v>68792.805736636248</v>
      </c>
      <c r="K364" s="6" t="s">
        <v>27</v>
      </c>
      <c r="L364" s="5">
        <v>0</v>
      </c>
      <c r="M364" s="5">
        <v>0</v>
      </c>
      <c r="N364" s="11">
        <v>0</v>
      </c>
      <c r="O364" s="13">
        <v>2024</v>
      </c>
    </row>
    <row r="365" spans="1:15" ht="14.5" customHeight="1" x14ac:dyDescent="0.35">
      <c r="A365" s="20" t="s">
        <v>779</v>
      </c>
      <c r="B365" s="15" t="s">
        <v>780</v>
      </c>
      <c r="C365" s="15" t="s">
        <v>3108</v>
      </c>
      <c r="D365" s="16" t="s">
        <v>18</v>
      </c>
      <c r="E365" s="15" t="s">
        <v>173</v>
      </c>
      <c r="F365" s="15" t="s">
        <v>170</v>
      </c>
      <c r="G365" s="17" t="str">
        <f t="shared" si="5"/>
        <v>Small</v>
      </c>
      <c r="H365" s="3">
        <v>894</v>
      </c>
      <c r="I365" s="4">
        <v>32</v>
      </c>
      <c r="J365" s="5">
        <v>98858.789709172255</v>
      </c>
      <c r="K365" s="6">
        <v>1.0117724015492326E-2</v>
      </c>
      <c r="L365" s="5">
        <v>1053.6610738255033</v>
      </c>
      <c r="M365" s="5">
        <v>0</v>
      </c>
      <c r="N365" s="11">
        <v>1214.5290827740491</v>
      </c>
      <c r="O365" s="13">
        <v>2024</v>
      </c>
    </row>
    <row r="366" spans="1:15" ht="14.5" customHeight="1" x14ac:dyDescent="0.35">
      <c r="A366" s="20" t="s">
        <v>781</v>
      </c>
      <c r="B366" s="15" t="s">
        <v>780</v>
      </c>
      <c r="C366" s="15" t="s">
        <v>3108</v>
      </c>
      <c r="D366" s="16" t="s">
        <v>324</v>
      </c>
      <c r="E366" s="15" t="s">
        <v>207</v>
      </c>
      <c r="F366" s="15" t="s">
        <v>208</v>
      </c>
      <c r="G366" s="17" t="str">
        <f t="shared" si="5"/>
        <v>Small</v>
      </c>
      <c r="H366" s="3">
        <v>1161</v>
      </c>
      <c r="I366" s="4">
        <v>50.2</v>
      </c>
      <c r="J366" s="5">
        <v>345274.77347114554</v>
      </c>
      <c r="K366" s="6" t="s">
        <v>27</v>
      </c>
      <c r="L366" s="5">
        <v>0</v>
      </c>
      <c r="M366" s="5">
        <v>0</v>
      </c>
      <c r="N366" s="11">
        <v>0</v>
      </c>
      <c r="O366" s="13">
        <v>2024</v>
      </c>
    </row>
    <row r="367" spans="1:15" ht="14.5" customHeight="1" x14ac:dyDescent="0.35">
      <c r="A367" s="20" t="s">
        <v>782</v>
      </c>
      <c r="B367" s="15" t="s">
        <v>783</v>
      </c>
      <c r="C367" s="15" t="s">
        <v>3108</v>
      </c>
      <c r="D367" s="16" t="s">
        <v>22</v>
      </c>
      <c r="E367" s="15" t="s">
        <v>186</v>
      </c>
      <c r="F367" s="15" t="s">
        <v>170</v>
      </c>
      <c r="G367" s="17" t="str">
        <f t="shared" si="5"/>
        <v>Small</v>
      </c>
      <c r="H367" s="3">
        <v>1007</v>
      </c>
      <c r="I367" s="4">
        <v>36.299999999999997</v>
      </c>
      <c r="J367" s="5">
        <v>143180.93346573983</v>
      </c>
      <c r="K367" s="6">
        <v>3.3287442642416037E-3</v>
      </c>
      <c r="L367" s="5">
        <v>833.4507249255214</v>
      </c>
      <c r="M367" s="5">
        <v>0</v>
      </c>
      <c r="N367" s="11">
        <v>1069.9377855014898</v>
      </c>
      <c r="O367" s="13">
        <v>2024</v>
      </c>
    </row>
    <row r="368" spans="1:15" ht="14.5" customHeight="1" x14ac:dyDescent="0.35">
      <c r="A368" s="20" t="s">
        <v>784</v>
      </c>
      <c r="B368" s="15" t="s">
        <v>785</v>
      </c>
      <c r="C368" s="15" t="s">
        <v>3108</v>
      </c>
      <c r="D368" s="16" t="s">
        <v>193</v>
      </c>
      <c r="E368" s="15" t="s">
        <v>186</v>
      </c>
      <c r="F368" s="15" t="s">
        <v>170</v>
      </c>
      <c r="G368" s="17" t="str">
        <f t="shared" si="5"/>
        <v>Small</v>
      </c>
      <c r="H368" s="3">
        <v>1944</v>
      </c>
      <c r="I368" s="4">
        <v>36.200000000000003</v>
      </c>
      <c r="J368" s="5">
        <v>49861.924382716046</v>
      </c>
      <c r="K368" s="6">
        <v>1.1522385052194705E-2</v>
      </c>
      <c r="L368" s="5">
        <v>590.51704732510291</v>
      </c>
      <c r="M368" s="5">
        <v>341.26800411522635</v>
      </c>
      <c r="N368" s="11">
        <v>1079.7922633744856</v>
      </c>
      <c r="O368" s="13">
        <v>2024</v>
      </c>
    </row>
    <row r="369" spans="1:15" ht="14.5" customHeight="1" x14ac:dyDescent="0.35">
      <c r="A369" s="20" t="s">
        <v>786</v>
      </c>
      <c r="B369" s="15" t="s">
        <v>34</v>
      </c>
      <c r="C369" s="15" t="s">
        <v>3108</v>
      </c>
      <c r="D369" s="16" t="s">
        <v>338</v>
      </c>
      <c r="E369" s="15" t="s">
        <v>214</v>
      </c>
      <c r="F369" s="15" t="s">
        <v>170</v>
      </c>
      <c r="G369" s="17" t="str">
        <f t="shared" si="5"/>
        <v>Small</v>
      </c>
      <c r="H369" s="3">
        <v>1199</v>
      </c>
      <c r="I369" s="4">
        <v>65</v>
      </c>
      <c r="J369" s="5">
        <v>134230.59299416179</v>
      </c>
      <c r="K369" s="6">
        <v>4.1173778102749645E-3</v>
      </c>
      <c r="L369" s="5">
        <v>630.67527939949957</v>
      </c>
      <c r="M369" s="5">
        <v>0</v>
      </c>
      <c r="N369" s="11">
        <v>1031.6682485404503</v>
      </c>
      <c r="O369" s="13">
        <v>2024</v>
      </c>
    </row>
    <row r="370" spans="1:15" ht="14.5" customHeight="1" x14ac:dyDescent="0.35">
      <c r="A370" s="20" t="s">
        <v>787</v>
      </c>
      <c r="B370" s="15" t="s">
        <v>788</v>
      </c>
      <c r="C370" s="15" t="s">
        <v>3108</v>
      </c>
      <c r="D370" s="16" t="s">
        <v>181</v>
      </c>
      <c r="E370" s="15" t="s">
        <v>178</v>
      </c>
      <c r="F370" s="15" t="s">
        <v>170</v>
      </c>
      <c r="G370" s="17" t="str">
        <f t="shared" si="5"/>
        <v>Small</v>
      </c>
      <c r="H370" s="3">
        <v>3226</v>
      </c>
      <c r="I370" s="4">
        <v>34.4</v>
      </c>
      <c r="J370" s="5">
        <v>56614.010229386236</v>
      </c>
      <c r="K370" s="6">
        <v>3.6043011091570995E-3</v>
      </c>
      <c r="L370" s="5">
        <v>234.53402975821447</v>
      </c>
      <c r="M370" s="5">
        <v>169.75592994420336</v>
      </c>
      <c r="N370" s="11">
        <v>446.26004959702414</v>
      </c>
      <c r="O370" s="13">
        <v>2024</v>
      </c>
    </row>
    <row r="371" spans="1:15" ht="14.5" customHeight="1" x14ac:dyDescent="0.35">
      <c r="A371" s="20" t="s">
        <v>789</v>
      </c>
      <c r="B371" s="15" t="s">
        <v>790</v>
      </c>
      <c r="C371" s="15" t="s">
        <v>3108</v>
      </c>
      <c r="D371" s="16" t="s">
        <v>231</v>
      </c>
      <c r="E371" s="15" t="s">
        <v>178</v>
      </c>
      <c r="F371" s="15" t="s">
        <v>170</v>
      </c>
      <c r="G371" s="17" t="str">
        <f t="shared" si="5"/>
        <v>Small</v>
      </c>
      <c r="H371" s="3">
        <v>2009</v>
      </c>
      <c r="I371" s="4">
        <v>35.6</v>
      </c>
      <c r="J371" s="5">
        <v>67468.573419611741</v>
      </c>
      <c r="K371" s="6">
        <v>6.4027081199776043E-3</v>
      </c>
      <c r="L371" s="5">
        <v>473.69636635141859</v>
      </c>
      <c r="M371" s="5">
        <v>0</v>
      </c>
      <c r="N371" s="11">
        <v>670.91936286709802</v>
      </c>
      <c r="O371" s="13">
        <v>2024</v>
      </c>
    </row>
    <row r="372" spans="1:15" ht="14.5" customHeight="1" x14ac:dyDescent="0.35">
      <c r="A372" s="20" t="s">
        <v>791</v>
      </c>
      <c r="B372" s="15" t="s">
        <v>792</v>
      </c>
      <c r="C372" s="15" t="s">
        <v>3108</v>
      </c>
      <c r="D372" s="16" t="s">
        <v>234</v>
      </c>
      <c r="E372" s="15" t="s">
        <v>178</v>
      </c>
      <c r="F372" s="15" t="s">
        <v>170</v>
      </c>
      <c r="G372" s="17" t="str">
        <f t="shared" si="5"/>
        <v>Small</v>
      </c>
      <c r="H372" s="3">
        <v>4415</v>
      </c>
      <c r="I372" s="4">
        <v>59.5</v>
      </c>
      <c r="J372" s="5">
        <v>55103.653907134765</v>
      </c>
      <c r="K372" s="6">
        <v>2.2990708189970588E-3</v>
      </c>
      <c r="L372" s="5">
        <v>228.64326160815403</v>
      </c>
      <c r="M372" s="5">
        <v>0</v>
      </c>
      <c r="N372" s="11">
        <v>361.45390713476786</v>
      </c>
      <c r="O372" s="13">
        <v>2024</v>
      </c>
    </row>
    <row r="373" spans="1:15" ht="14.5" customHeight="1" x14ac:dyDescent="0.35">
      <c r="A373" s="20" t="s">
        <v>793</v>
      </c>
      <c r="B373" s="15" t="s">
        <v>794</v>
      </c>
      <c r="C373" s="15" t="s">
        <v>3108</v>
      </c>
      <c r="D373" s="16" t="s">
        <v>37</v>
      </c>
      <c r="E373" s="15" t="s">
        <v>217</v>
      </c>
      <c r="F373" s="15" t="s">
        <v>170</v>
      </c>
      <c r="G373" s="17" t="str">
        <f t="shared" si="5"/>
        <v>Small</v>
      </c>
      <c r="H373" s="3">
        <v>1628</v>
      </c>
      <c r="I373" s="4">
        <v>39.1</v>
      </c>
      <c r="J373" s="5">
        <v>300903.62653562654</v>
      </c>
      <c r="K373" s="6">
        <v>7.7055167556892683E-4</v>
      </c>
      <c r="L373" s="5">
        <v>535.9717444717445</v>
      </c>
      <c r="M373" s="5">
        <v>285.49631449631448</v>
      </c>
      <c r="N373" s="11">
        <v>703.60995085995091</v>
      </c>
      <c r="O373" s="13">
        <v>2024</v>
      </c>
    </row>
    <row r="374" spans="1:15" ht="14.5" customHeight="1" x14ac:dyDescent="0.35">
      <c r="A374" s="20" t="s">
        <v>795</v>
      </c>
      <c r="B374" s="15" t="s">
        <v>796</v>
      </c>
      <c r="C374" s="15" t="s">
        <v>3108</v>
      </c>
      <c r="D374" s="16" t="s">
        <v>51</v>
      </c>
      <c r="E374" s="15" t="s">
        <v>217</v>
      </c>
      <c r="F374" s="15" t="s">
        <v>170</v>
      </c>
      <c r="G374" s="17" t="str">
        <f t="shared" si="5"/>
        <v>Small</v>
      </c>
      <c r="H374" s="3">
        <v>3525</v>
      </c>
      <c r="I374" s="4">
        <v>43.8</v>
      </c>
      <c r="J374" s="5">
        <v>168992.37390070921</v>
      </c>
      <c r="K374" s="6" t="s">
        <v>27</v>
      </c>
      <c r="L374" s="5">
        <v>0</v>
      </c>
      <c r="M374" s="5">
        <v>0</v>
      </c>
      <c r="N374" s="11">
        <v>0</v>
      </c>
      <c r="O374" s="13">
        <v>2024</v>
      </c>
    </row>
    <row r="375" spans="1:15" ht="14.5" customHeight="1" x14ac:dyDescent="0.35">
      <c r="A375" s="20" t="s">
        <v>797</v>
      </c>
      <c r="B375" s="15" t="s">
        <v>798</v>
      </c>
      <c r="C375" s="15" t="s">
        <v>3108</v>
      </c>
      <c r="D375" s="16" t="s">
        <v>43</v>
      </c>
      <c r="E375" s="15" t="s">
        <v>207</v>
      </c>
      <c r="F375" s="15" t="s">
        <v>208</v>
      </c>
      <c r="G375" s="17" t="str">
        <f t="shared" si="5"/>
        <v>Small</v>
      </c>
      <c r="H375" s="3">
        <v>5610</v>
      </c>
      <c r="I375" s="4">
        <v>43.4</v>
      </c>
      <c r="J375" s="5">
        <v>239347.68556149732</v>
      </c>
      <c r="K375" s="6">
        <v>1.2673863488304841E-3</v>
      </c>
      <c r="L375" s="5">
        <v>424.60303030303032</v>
      </c>
      <c r="M375" s="5">
        <v>57.179500891265597</v>
      </c>
      <c r="N375" s="11">
        <v>784.10249554367203</v>
      </c>
      <c r="O375" s="13">
        <v>2024</v>
      </c>
    </row>
    <row r="376" spans="1:15" ht="14.5" customHeight="1" x14ac:dyDescent="0.35">
      <c r="A376" s="20" t="s">
        <v>799</v>
      </c>
      <c r="B376" s="15" t="s">
        <v>800</v>
      </c>
      <c r="C376" s="15" t="s">
        <v>3108</v>
      </c>
      <c r="D376" s="16" t="s">
        <v>79</v>
      </c>
      <c r="E376" s="15" t="s">
        <v>178</v>
      </c>
      <c r="F376" s="15" t="s">
        <v>170</v>
      </c>
      <c r="G376" s="17" t="str">
        <f t="shared" si="5"/>
        <v>Medium</v>
      </c>
      <c r="H376" s="3">
        <v>29167</v>
      </c>
      <c r="I376" s="4">
        <v>15.2</v>
      </c>
      <c r="J376" s="5">
        <v>80874.10042170946</v>
      </c>
      <c r="K376" s="6">
        <v>5.5859125343474345E-3</v>
      </c>
      <c r="L376" s="5">
        <v>626.75219048925157</v>
      </c>
      <c r="M376" s="5">
        <v>9.4394908629615664</v>
      </c>
      <c r="N376" s="11">
        <v>789.72825144855483</v>
      </c>
      <c r="O376" s="13">
        <v>2024</v>
      </c>
    </row>
    <row r="377" spans="1:15" ht="14.5" customHeight="1" x14ac:dyDescent="0.35">
      <c r="A377" s="20" t="s">
        <v>801</v>
      </c>
      <c r="B377" s="15" t="s">
        <v>802</v>
      </c>
      <c r="C377" s="15" t="s">
        <v>3108</v>
      </c>
      <c r="D377" s="16" t="s">
        <v>89</v>
      </c>
      <c r="E377" s="15" t="s">
        <v>183</v>
      </c>
      <c r="F377" s="15" t="s">
        <v>170</v>
      </c>
      <c r="G377" s="17" t="str">
        <f t="shared" si="5"/>
        <v>Medium</v>
      </c>
      <c r="H377" s="3">
        <v>17088</v>
      </c>
      <c r="I377" s="4">
        <v>9.1999999999999993</v>
      </c>
      <c r="J377" s="5">
        <v>79080.539325842692</v>
      </c>
      <c r="K377" s="6">
        <v>7.4339622703782204E-3</v>
      </c>
      <c r="L377" s="5">
        <v>601.78675737359549</v>
      </c>
      <c r="M377" s="5">
        <v>59.516142907303369</v>
      </c>
      <c r="N377" s="11">
        <v>848.96369791666666</v>
      </c>
      <c r="O377" s="13">
        <v>2024</v>
      </c>
    </row>
    <row r="378" spans="1:15" ht="14.5" customHeight="1" x14ac:dyDescent="0.35">
      <c r="A378" s="20" t="s">
        <v>803</v>
      </c>
      <c r="B378" s="15" t="s">
        <v>7</v>
      </c>
      <c r="C378" s="15" t="s">
        <v>3108</v>
      </c>
      <c r="D378" s="16" t="s">
        <v>193</v>
      </c>
      <c r="E378" s="15" t="s">
        <v>186</v>
      </c>
      <c r="F378" s="15" t="s">
        <v>170</v>
      </c>
      <c r="G378" s="17" t="str">
        <f t="shared" si="5"/>
        <v>Small</v>
      </c>
      <c r="H378" s="3">
        <v>1633</v>
      </c>
      <c r="I378" s="4">
        <v>36.200000000000003</v>
      </c>
      <c r="J378" s="5">
        <v>57621.118187385182</v>
      </c>
      <c r="K378" s="6">
        <v>8.489595536167455E-3</v>
      </c>
      <c r="L378" s="5">
        <v>502.43710961420703</v>
      </c>
      <c r="M378" s="5">
        <v>0</v>
      </c>
      <c r="N378" s="11">
        <v>586.09179424372326</v>
      </c>
      <c r="O378" s="13">
        <v>2024</v>
      </c>
    </row>
    <row r="379" spans="1:15" ht="14.5" customHeight="1" x14ac:dyDescent="0.35">
      <c r="A379" s="20" t="s">
        <v>804</v>
      </c>
      <c r="B379" s="15" t="s">
        <v>805</v>
      </c>
      <c r="C379" s="15" t="s">
        <v>3108</v>
      </c>
      <c r="D379" s="16" t="s">
        <v>231</v>
      </c>
      <c r="E379" s="15" t="s">
        <v>178</v>
      </c>
      <c r="F379" s="15" t="s">
        <v>170</v>
      </c>
      <c r="G379" s="17" t="str">
        <f t="shared" si="5"/>
        <v>Small</v>
      </c>
      <c r="H379" s="3">
        <v>402</v>
      </c>
      <c r="I379" s="4">
        <v>15.6</v>
      </c>
      <c r="J379" s="5">
        <v>101689.98258706467</v>
      </c>
      <c r="K379" s="6">
        <v>1.1778262841751512E-2</v>
      </c>
      <c r="L379" s="5">
        <v>1206.6467661691543</v>
      </c>
      <c r="M379" s="5">
        <v>0</v>
      </c>
      <c r="N379" s="11">
        <v>2205.9029850746269</v>
      </c>
      <c r="O379" s="13">
        <v>2024</v>
      </c>
    </row>
    <row r="380" spans="1:15" ht="14.5" customHeight="1" x14ac:dyDescent="0.35">
      <c r="A380" s="20" t="s">
        <v>806</v>
      </c>
      <c r="B380" s="15" t="s">
        <v>807</v>
      </c>
      <c r="C380" s="15" t="s">
        <v>3108</v>
      </c>
      <c r="D380" s="16" t="s">
        <v>269</v>
      </c>
      <c r="E380" s="15" t="s">
        <v>178</v>
      </c>
      <c r="F380" s="15" t="s">
        <v>170</v>
      </c>
      <c r="G380" s="17" t="str">
        <f t="shared" si="5"/>
        <v>Medium</v>
      </c>
      <c r="H380" s="3">
        <v>10234</v>
      </c>
      <c r="I380" s="4">
        <v>43.9</v>
      </c>
      <c r="J380" s="5">
        <v>71253.500192495601</v>
      </c>
      <c r="K380" s="6">
        <v>2.2984378425228548E-3</v>
      </c>
      <c r="L380" s="5">
        <v>180.34495212038303</v>
      </c>
      <c r="M380" s="5">
        <v>149.08481532147744</v>
      </c>
      <c r="N380" s="11">
        <v>381.32820891147156</v>
      </c>
      <c r="O380" s="13">
        <v>2024</v>
      </c>
    </row>
    <row r="381" spans="1:15" ht="14.5" customHeight="1" x14ac:dyDescent="0.35">
      <c r="A381" s="20" t="s">
        <v>808</v>
      </c>
      <c r="B381" s="15" t="s">
        <v>109</v>
      </c>
      <c r="C381" s="15" t="s">
        <v>3108</v>
      </c>
      <c r="D381" s="16" t="s">
        <v>15</v>
      </c>
      <c r="E381" s="15" t="s">
        <v>178</v>
      </c>
      <c r="F381" s="15" t="s">
        <v>170</v>
      </c>
      <c r="G381" s="17" t="str">
        <f t="shared" si="5"/>
        <v>Small</v>
      </c>
      <c r="H381" s="3">
        <v>3473</v>
      </c>
      <c r="I381" s="4">
        <v>19.100000000000001</v>
      </c>
      <c r="J381" s="5">
        <v>168200.92081773683</v>
      </c>
      <c r="K381" s="6">
        <v>7.9092470884239508E-4</v>
      </c>
      <c r="L381" s="5">
        <v>704.7954419809962</v>
      </c>
      <c r="M381" s="5">
        <v>111.64036855744314</v>
      </c>
      <c r="N381" s="11">
        <v>2033.1035560034554</v>
      </c>
      <c r="O381" s="13">
        <v>2024</v>
      </c>
    </row>
    <row r="382" spans="1:15" ht="14.5" customHeight="1" x14ac:dyDescent="0.35">
      <c r="A382" s="20" t="s">
        <v>809</v>
      </c>
      <c r="B382" s="15" t="s">
        <v>810</v>
      </c>
      <c r="C382" s="15" t="s">
        <v>3108</v>
      </c>
      <c r="D382" s="16" t="s">
        <v>5</v>
      </c>
      <c r="E382" s="15" t="s">
        <v>183</v>
      </c>
      <c r="F382" s="15" t="s">
        <v>170</v>
      </c>
      <c r="G382" s="17" t="str">
        <f t="shared" si="5"/>
        <v>Small</v>
      </c>
      <c r="H382" s="3">
        <v>1815</v>
      </c>
      <c r="I382" s="4">
        <v>39.6</v>
      </c>
      <c r="J382" s="5">
        <v>140112.62424242424</v>
      </c>
      <c r="K382" s="6">
        <v>1.0978967950508983E-3</v>
      </c>
      <c r="L382" s="5">
        <v>628.42635812672165</v>
      </c>
      <c r="M382" s="5">
        <v>355.37190082644628</v>
      </c>
      <c r="N382" s="11">
        <v>832.09550413223144</v>
      </c>
      <c r="O382" s="13">
        <v>2024</v>
      </c>
    </row>
    <row r="383" spans="1:15" ht="14.5" customHeight="1" x14ac:dyDescent="0.35">
      <c r="A383" s="20" t="s">
        <v>811</v>
      </c>
      <c r="B383" s="15" t="s">
        <v>812</v>
      </c>
      <c r="C383" s="15" t="s">
        <v>3108</v>
      </c>
      <c r="D383" s="16" t="s">
        <v>67</v>
      </c>
      <c r="E383" s="15" t="s">
        <v>183</v>
      </c>
      <c r="F383" s="15" t="s">
        <v>170</v>
      </c>
      <c r="G383" s="17" t="str">
        <f t="shared" si="5"/>
        <v>Small</v>
      </c>
      <c r="H383" s="3">
        <v>648</v>
      </c>
      <c r="I383" s="4">
        <v>40.1</v>
      </c>
      <c r="J383" s="5">
        <v>186576.21141975309</v>
      </c>
      <c r="K383" s="6">
        <v>4.1478598446163381E-3</v>
      </c>
      <c r="L383" s="5">
        <v>1228.3829629629631</v>
      </c>
      <c r="M383" s="5">
        <v>0</v>
      </c>
      <c r="N383" s="11">
        <v>2175.7623919753087</v>
      </c>
      <c r="O383" s="13">
        <v>2024</v>
      </c>
    </row>
    <row r="384" spans="1:15" ht="14.5" customHeight="1" x14ac:dyDescent="0.35">
      <c r="A384" s="20" t="s">
        <v>813</v>
      </c>
      <c r="B384" s="15" t="s">
        <v>814</v>
      </c>
      <c r="C384" s="15" t="s">
        <v>3108</v>
      </c>
      <c r="D384" s="16" t="s">
        <v>61</v>
      </c>
      <c r="E384" s="15" t="s">
        <v>173</v>
      </c>
      <c r="F384" s="15" t="s">
        <v>170</v>
      </c>
      <c r="G384" s="17" t="str">
        <f t="shared" ref="G384:G447" si="6">IF(H384&lt;=10000,"Small",(IF(H384&lt;=100000,"Medium",IF(H384&gt;100000,"Large"))))</f>
        <v>Small</v>
      </c>
      <c r="H384" s="3">
        <v>308</v>
      </c>
      <c r="I384" s="4">
        <v>28.4</v>
      </c>
      <c r="J384" s="5">
        <v>170059.3896103896</v>
      </c>
      <c r="K384" s="6" t="s">
        <v>27</v>
      </c>
      <c r="L384" s="5">
        <v>0</v>
      </c>
      <c r="M384" s="5">
        <v>0</v>
      </c>
      <c r="N384" s="11">
        <v>0</v>
      </c>
      <c r="O384" s="13">
        <v>2024</v>
      </c>
    </row>
    <row r="385" spans="1:15" ht="14.5" customHeight="1" x14ac:dyDescent="0.35">
      <c r="A385" s="20" t="s">
        <v>815</v>
      </c>
      <c r="B385" s="15" t="s">
        <v>816</v>
      </c>
      <c r="C385" s="15" t="s">
        <v>3108</v>
      </c>
      <c r="D385" s="16" t="s">
        <v>46</v>
      </c>
      <c r="E385" s="15" t="s">
        <v>214</v>
      </c>
      <c r="F385" s="15" t="s">
        <v>170</v>
      </c>
      <c r="G385" s="17" t="str">
        <f t="shared" si="6"/>
        <v>Medium</v>
      </c>
      <c r="H385" s="3">
        <v>12263</v>
      </c>
      <c r="I385" s="4">
        <v>33.700000000000003</v>
      </c>
      <c r="J385" s="5">
        <v>46501.693223517897</v>
      </c>
      <c r="K385" s="6">
        <v>2.7054612639337595E-3</v>
      </c>
      <c r="L385" s="5">
        <v>166.63909076082524</v>
      </c>
      <c r="M385" s="5">
        <v>19.163336866998286</v>
      </c>
      <c r="N385" s="11">
        <v>244.52732447198892</v>
      </c>
      <c r="O385" s="13">
        <v>2024</v>
      </c>
    </row>
    <row r="386" spans="1:15" ht="14.5" customHeight="1" x14ac:dyDescent="0.35">
      <c r="A386" s="20" t="s">
        <v>817</v>
      </c>
      <c r="B386" s="15" t="s">
        <v>818</v>
      </c>
      <c r="C386" s="15" t="s">
        <v>3108</v>
      </c>
      <c r="D386" s="16" t="s">
        <v>37</v>
      </c>
      <c r="E386" s="15" t="s">
        <v>217</v>
      </c>
      <c r="F386" s="15" t="s">
        <v>170</v>
      </c>
      <c r="G386" s="17" t="str">
        <f t="shared" si="6"/>
        <v>Small</v>
      </c>
      <c r="H386" s="3">
        <v>1936</v>
      </c>
      <c r="I386" s="4">
        <v>12.1</v>
      </c>
      <c r="J386" s="5">
        <v>254232.52066115703</v>
      </c>
      <c r="K386" s="6" t="s">
        <v>27</v>
      </c>
      <c r="L386" s="5">
        <v>0</v>
      </c>
      <c r="M386" s="5">
        <v>0</v>
      </c>
      <c r="N386" s="11">
        <v>0</v>
      </c>
      <c r="O386" s="13">
        <v>2024</v>
      </c>
    </row>
    <row r="387" spans="1:15" ht="14.5" customHeight="1" x14ac:dyDescent="0.35">
      <c r="A387" s="20" t="s">
        <v>819</v>
      </c>
      <c r="B387" s="15" t="s">
        <v>820</v>
      </c>
      <c r="C387" s="15" t="s">
        <v>3108</v>
      </c>
      <c r="D387" s="16" t="s">
        <v>22</v>
      </c>
      <c r="E387" s="15" t="s">
        <v>186</v>
      </c>
      <c r="F387" s="15" t="s">
        <v>170</v>
      </c>
      <c r="G387" s="17" t="str">
        <f t="shared" si="6"/>
        <v>Small</v>
      </c>
      <c r="H387" s="3">
        <v>1782</v>
      </c>
      <c r="I387" s="4">
        <v>36.1</v>
      </c>
      <c r="J387" s="5">
        <v>60210.354096520765</v>
      </c>
      <c r="K387" s="6">
        <v>5.6326188476649268E-3</v>
      </c>
      <c r="L387" s="5">
        <v>569.82154882154884</v>
      </c>
      <c r="M387" s="5">
        <v>0</v>
      </c>
      <c r="N387" s="11">
        <v>861.02918069584734</v>
      </c>
      <c r="O387" s="13">
        <v>2024</v>
      </c>
    </row>
    <row r="388" spans="1:15" ht="14.5" customHeight="1" x14ac:dyDescent="0.35">
      <c r="A388" s="20" t="s">
        <v>821</v>
      </c>
      <c r="B388" s="15" t="s">
        <v>822</v>
      </c>
      <c r="C388" s="15" t="s">
        <v>3108</v>
      </c>
      <c r="D388" s="16" t="s">
        <v>37</v>
      </c>
      <c r="E388" s="15" t="s">
        <v>217</v>
      </c>
      <c r="F388" s="15" t="s">
        <v>170</v>
      </c>
      <c r="G388" s="17" t="str">
        <f t="shared" si="6"/>
        <v>Small</v>
      </c>
      <c r="H388" s="3">
        <v>5303</v>
      </c>
      <c r="I388" s="4">
        <v>45.1</v>
      </c>
      <c r="J388" s="5">
        <v>165878.27927588156</v>
      </c>
      <c r="K388" s="6">
        <v>8.816583671110177E-4</v>
      </c>
      <c r="L388" s="5">
        <v>408.98717706958325</v>
      </c>
      <c r="M388" s="5">
        <v>32.592871959268336</v>
      </c>
      <c r="N388" s="11">
        <v>537.4203281161607</v>
      </c>
      <c r="O388" s="13">
        <v>2024</v>
      </c>
    </row>
    <row r="389" spans="1:15" ht="14.5" customHeight="1" x14ac:dyDescent="0.35">
      <c r="A389" s="20" t="s">
        <v>823</v>
      </c>
      <c r="B389" s="15" t="s">
        <v>824</v>
      </c>
      <c r="C389" s="15" t="s">
        <v>3108</v>
      </c>
      <c r="D389" s="16" t="s">
        <v>338</v>
      </c>
      <c r="E389" s="15" t="s">
        <v>214</v>
      </c>
      <c r="F389" s="15" t="s">
        <v>170</v>
      </c>
      <c r="G389" s="17" t="str">
        <f t="shared" si="6"/>
        <v>Small</v>
      </c>
      <c r="H389" s="3">
        <v>1111</v>
      </c>
      <c r="I389" s="4">
        <v>57.8</v>
      </c>
      <c r="J389" s="5">
        <v>464040.69036903692</v>
      </c>
      <c r="K389" s="6">
        <v>2.5982369516087721E-3</v>
      </c>
      <c r="L389" s="5">
        <v>1371.6282628262827</v>
      </c>
      <c r="M389" s="5">
        <v>0</v>
      </c>
      <c r="N389" s="11">
        <v>2943.7200720072005</v>
      </c>
      <c r="O389" s="13">
        <v>2024</v>
      </c>
    </row>
    <row r="390" spans="1:15" ht="14.5" customHeight="1" x14ac:dyDescent="0.35">
      <c r="A390" s="20" t="s">
        <v>825</v>
      </c>
      <c r="B390" s="15" t="s">
        <v>826</v>
      </c>
      <c r="C390" s="15" t="s">
        <v>3108</v>
      </c>
      <c r="D390" s="16" t="s">
        <v>3</v>
      </c>
      <c r="E390" s="15" t="s">
        <v>214</v>
      </c>
      <c r="F390" s="15" t="s">
        <v>170</v>
      </c>
      <c r="G390" s="17" t="str">
        <f t="shared" si="6"/>
        <v>Small</v>
      </c>
      <c r="H390" s="3">
        <v>2536</v>
      </c>
      <c r="I390" s="4">
        <v>38.6</v>
      </c>
      <c r="J390" s="5">
        <v>87200.867507886433</v>
      </c>
      <c r="K390" s="6">
        <v>1.7925634910514268E-3</v>
      </c>
      <c r="L390" s="5">
        <v>504.12400630914829</v>
      </c>
      <c r="M390" s="5">
        <v>0</v>
      </c>
      <c r="N390" s="11">
        <v>866.20752760252367</v>
      </c>
      <c r="O390" s="13">
        <v>2024</v>
      </c>
    </row>
    <row r="391" spans="1:15" ht="14.5" customHeight="1" x14ac:dyDescent="0.35">
      <c r="A391" s="20" t="s">
        <v>827</v>
      </c>
      <c r="B391" s="15" t="s">
        <v>828</v>
      </c>
      <c r="C391" s="15" t="s">
        <v>3108</v>
      </c>
      <c r="D391" s="16" t="s">
        <v>86</v>
      </c>
      <c r="E391" s="15" t="s">
        <v>217</v>
      </c>
      <c r="F391" s="15" t="s">
        <v>170</v>
      </c>
      <c r="G391" s="17" t="str">
        <f t="shared" si="6"/>
        <v>Medium</v>
      </c>
      <c r="H391" s="3">
        <v>29326</v>
      </c>
      <c r="I391" s="4">
        <v>49.2</v>
      </c>
      <c r="J391" s="5">
        <v>107030.71441724067</v>
      </c>
      <c r="K391" s="6">
        <v>3.0425268801442251E-3</v>
      </c>
      <c r="L391" s="5">
        <v>457.04333867557801</v>
      </c>
      <c r="M391" s="5">
        <v>273.9993817772625</v>
      </c>
      <c r="N391" s="11">
        <v>844.23331480597426</v>
      </c>
      <c r="O391" s="13">
        <v>2024</v>
      </c>
    </row>
    <row r="392" spans="1:15" ht="14.5" customHeight="1" x14ac:dyDescent="0.35">
      <c r="A392" s="20" t="s">
        <v>829</v>
      </c>
      <c r="B392" s="15" t="s">
        <v>830</v>
      </c>
      <c r="C392" s="15" t="s">
        <v>3108</v>
      </c>
      <c r="D392" s="16" t="s">
        <v>15</v>
      </c>
      <c r="E392" s="15" t="s">
        <v>178</v>
      </c>
      <c r="F392" s="15" t="s">
        <v>170</v>
      </c>
      <c r="G392" s="17" t="str">
        <f t="shared" si="6"/>
        <v>Small</v>
      </c>
      <c r="H392" s="3">
        <v>4106</v>
      </c>
      <c r="I392" s="4">
        <v>48.9</v>
      </c>
      <c r="J392" s="5">
        <v>220203.03677545057</v>
      </c>
      <c r="K392" s="6">
        <v>1.0610508289603589E-3</v>
      </c>
      <c r="L392" s="5">
        <v>880.23545299561613</v>
      </c>
      <c r="M392" s="5">
        <v>42.393180711154407</v>
      </c>
      <c r="N392" s="11">
        <v>1840.3595056015586</v>
      </c>
      <c r="O392" s="13">
        <v>2024</v>
      </c>
    </row>
    <row r="393" spans="1:15" ht="14.5" customHeight="1" x14ac:dyDescent="0.35">
      <c r="A393" s="20" t="s">
        <v>831</v>
      </c>
      <c r="B393" s="15" t="s">
        <v>832</v>
      </c>
      <c r="C393" s="15" t="s">
        <v>3108</v>
      </c>
      <c r="D393" s="16" t="s">
        <v>53</v>
      </c>
      <c r="E393" s="15" t="s">
        <v>207</v>
      </c>
      <c r="F393" s="15" t="s">
        <v>208</v>
      </c>
      <c r="G393" s="17" t="str">
        <f t="shared" si="6"/>
        <v>Medium</v>
      </c>
      <c r="H393" s="3">
        <v>14571</v>
      </c>
      <c r="I393" s="4">
        <v>43.6</v>
      </c>
      <c r="J393" s="5">
        <v>173529.83041658087</v>
      </c>
      <c r="K393" s="6">
        <v>1.8117604416249811E-3</v>
      </c>
      <c r="L393" s="5">
        <v>544.85958410541491</v>
      </c>
      <c r="M393" s="5">
        <v>169.2402717726992</v>
      </c>
      <c r="N393" s="11">
        <v>892.04377599341149</v>
      </c>
      <c r="O393" s="13">
        <v>2024</v>
      </c>
    </row>
    <row r="394" spans="1:15" ht="14.5" customHeight="1" x14ac:dyDescent="0.35">
      <c r="A394" s="20" t="s">
        <v>833</v>
      </c>
      <c r="B394" s="15" t="s">
        <v>834</v>
      </c>
      <c r="C394" s="15" t="s">
        <v>3108</v>
      </c>
      <c r="D394" s="16" t="s">
        <v>63</v>
      </c>
      <c r="E394" s="15" t="s">
        <v>169</v>
      </c>
      <c r="F394" s="15" t="s">
        <v>170</v>
      </c>
      <c r="G394" s="17" t="str">
        <f t="shared" si="6"/>
        <v>Small</v>
      </c>
      <c r="H394" s="3">
        <v>6551</v>
      </c>
      <c r="I394" s="4">
        <v>71.2</v>
      </c>
      <c r="J394" s="5">
        <v>41915.080751030378</v>
      </c>
      <c r="K394" s="6">
        <v>2.8309267998499589E-3</v>
      </c>
      <c r="L394" s="5">
        <v>235.03484964127614</v>
      </c>
      <c r="M394" s="5">
        <v>240.2830102274462</v>
      </c>
      <c r="N394" s="11">
        <v>409.06479163486495</v>
      </c>
      <c r="O394" s="13">
        <v>2024</v>
      </c>
    </row>
    <row r="395" spans="1:15" ht="14.5" customHeight="1" x14ac:dyDescent="0.35">
      <c r="A395" s="20" t="s">
        <v>835</v>
      </c>
      <c r="B395" s="15" t="s">
        <v>836</v>
      </c>
      <c r="C395" s="15" t="s">
        <v>3108</v>
      </c>
      <c r="D395" s="16" t="s">
        <v>77</v>
      </c>
      <c r="E395" s="15" t="s">
        <v>217</v>
      </c>
      <c r="F395" s="15" t="s">
        <v>170</v>
      </c>
      <c r="G395" s="17" t="str">
        <f t="shared" si="6"/>
        <v>Small</v>
      </c>
      <c r="H395" s="3">
        <v>2051</v>
      </c>
      <c r="I395" s="4">
        <v>44.7</v>
      </c>
      <c r="J395" s="5">
        <v>143599.99122379327</v>
      </c>
      <c r="K395" s="6">
        <v>2.5014567424349742E-3</v>
      </c>
      <c r="L395" s="5">
        <v>574.26664553876151</v>
      </c>
      <c r="M395" s="5">
        <v>0</v>
      </c>
      <c r="N395" s="11">
        <v>900.82401267674311</v>
      </c>
      <c r="O395" s="13">
        <v>2024</v>
      </c>
    </row>
    <row r="396" spans="1:15" ht="14.5" customHeight="1" x14ac:dyDescent="0.35">
      <c r="A396" s="20" t="s">
        <v>837</v>
      </c>
      <c r="B396" s="15" t="s">
        <v>838</v>
      </c>
      <c r="C396" s="15" t="s">
        <v>3108</v>
      </c>
      <c r="D396" s="16" t="s">
        <v>26</v>
      </c>
      <c r="E396" s="15" t="s">
        <v>183</v>
      </c>
      <c r="F396" s="15" t="s">
        <v>170</v>
      </c>
      <c r="G396" s="17" t="str">
        <f t="shared" si="6"/>
        <v>Small</v>
      </c>
      <c r="H396" s="3">
        <v>6520</v>
      </c>
      <c r="I396" s="4">
        <v>44.7</v>
      </c>
      <c r="J396" s="5">
        <v>59385.560429447854</v>
      </c>
      <c r="K396" s="6">
        <v>2.5806519904109843E-3</v>
      </c>
      <c r="L396" s="5">
        <v>319.26752453987729</v>
      </c>
      <c r="M396" s="5">
        <v>1819.4664294478525</v>
      </c>
      <c r="N396" s="11">
        <v>788.28011963190181</v>
      </c>
      <c r="O396" s="13">
        <v>2024</v>
      </c>
    </row>
    <row r="397" spans="1:15" ht="14.5" customHeight="1" x14ac:dyDescent="0.35">
      <c r="A397" s="20" t="s">
        <v>839</v>
      </c>
      <c r="B397" s="15" t="s">
        <v>840</v>
      </c>
      <c r="C397" s="15" t="s">
        <v>3108</v>
      </c>
      <c r="D397" s="16" t="s">
        <v>13</v>
      </c>
      <c r="E397" s="15" t="s">
        <v>186</v>
      </c>
      <c r="F397" s="15" t="s">
        <v>170</v>
      </c>
      <c r="G397" s="17" t="str">
        <f t="shared" si="6"/>
        <v>Medium</v>
      </c>
      <c r="H397" s="3">
        <v>21389</v>
      </c>
      <c r="I397" s="4">
        <v>28.3</v>
      </c>
      <c r="J397" s="5">
        <v>138684.63224087146</v>
      </c>
      <c r="K397" s="6">
        <v>4.0321396289173857E-3</v>
      </c>
      <c r="L397" s="5">
        <v>779.46612744868855</v>
      </c>
      <c r="M397" s="5">
        <v>1351.902613492917</v>
      </c>
      <c r="N397" s="11">
        <v>1407.3444761325916</v>
      </c>
      <c r="O397" s="13">
        <v>2024</v>
      </c>
    </row>
    <row r="398" spans="1:15" ht="14.5" customHeight="1" x14ac:dyDescent="0.35">
      <c r="A398" s="20" t="s">
        <v>841</v>
      </c>
      <c r="B398" s="15" t="s">
        <v>842</v>
      </c>
      <c r="C398" s="15" t="s">
        <v>3108</v>
      </c>
      <c r="D398" s="16" t="s">
        <v>193</v>
      </c>
      <c r="E398" s="15" t="s">
        <v>186</v>
      </c>
      <c r="F398" s="15" t="s">
        <v>170</v>
      </c>
      <c r="G398" s="17" t="str">
        <f t="shared" si="6"/>
        <v>Small</v>
      </c>
      <c r="H398" s="3">
        <v>519</v>
      </c>
      <c r="I398" s="4">
        <v>31.9</v>
      </c>
      <c r="J398" s="5">
        <v>95501.556840077072</v>
      </c>
      <c r="K398" s="6">
        <v>8.6680183647804641E-3</v>
      </c>
      <c r="L398" s="5">
        <v>830.32369942196533</v>
      </c>
      <c r="M398" s="5">
        <v>294.37379576107901</v>
      </c>
      <c r="N398" s="11">
        <v>1456.1348747591521</v>
      </c>
      <c r="O398" s="13">
        <v>2024</v>
      </c>
    </row>
    <row r="399" spans="1:15" ht="14.5" customHeight="1" x14ac:dyDescent="0.35">
      <c r="A399" s="20" t="s">
        <v>843</v>
      </c>
      <c r="B399" s="15" t="s">
        <v>844</v>
      </c>
      <c r="C399" s="15" t="s">
        <v>3108</v>
      </c>
      <c r="D399" s="16" t="s">
        <v>237</v>
      </c>
      <c r="E399" s="15" t="s">
        <v>217</v>
      </c>
      <c r="F399" s="15" t="s">
        <v>170</v>
      </c>
      <c r="G399" s="17" t="str">
        <f t="shared" si="6"/>
        <v>Small</v>
      </c>
      <c r="H399" s="3">
        <v>6215</v>
      </c>
      <c r="I399" s="4">
        <v>55.6</v>
      </c>
      <c r="J399" s="5">
        <v>73139.349637972642</v>
      </c>
      <c r="K399" s="6">
        <v>2.9695108638188713E-3</v>
      </c>
      <c r="L399" s="5">
        <v>242.95823169750602</v>
      </c>
      <c r="M399" s="5">
        <v>36.469026548672566</v>
      </c>
      <c r="N399" s="11">
        <v>353.69316814159293</v>
      </c>
      <c r="O399" s="13">
        <v>2024</v>
      </c>
    </row>
    <row r="400" spans="1:15" ht="14.5" customHeight="1" x14ac:dyDescent="0.35">
      <c r="A400" s="20" t="s">
        <v>845</v>
      </c>
      <c r="B400" s="15" t="s">
        <v>846</v>
      </c>
      <c r="C400" s="15" t="s">
        <v>3108</v>
      </c>
      <c r="D400" s="16" t="s">
        <v>65</v>
      </c>
      <c r="E400" s="15" t="s">
        <v>186</v>
      </c>
      <c r="F400" s="15" t="s">
        <v>170</v>
      </c>
      <c r="G400" s="17" t="str">
        <f t="shared" si="6"/>
        <v>Small</v>
      </c>
      <c r="H400" s="3">
        <v>1991</v>
      </c>
      <c r="I400" s="4">
        <v>49.6</v>
      </c>
      <c r="J400" s="5">
        <v>133944.14716223005</v>
      </c>
      <c r="K400" s="6">
        <v>1.933941768279864E-3</v>
      </c>
      <c r="L400" s="5">
        <v>624.17332496233053</v>
      </c>
      <c r="M400" s="5">
        <v>0</v>
      </c>
      <c r="N400" s="11">
        <v>902.73578101456553</v>
      </c>
      <c r="O400" s="13">
        <v>2024</v>
      </c>
    </row>
    <row r="401" spans="1:15" ht="14.5" customHeight="1" x14ac:dyDescent="0.35">
      <c r="A401" s="20" t="s">
        <v>847</v>
      </c>
      <c r="B401" s="15" t="s">
        <v>848</v>
      </c>
      <c r="C401" s="15" t="s">
        <v>3108</v>
      </c>
      <c r="D401" s="16" t="s">
        <v>79</v>
      </c>
      <c r="E401" s="15" t="s">
        <v>178</v>
      </c>
      <c r="F401" s="15" t="s">
        <v>170</v>
      </c>
      <c r="G401" s="17" t="str">
        <f t="shared" si="6"/>
        <v>Medium</v>
      </c>
      <c r="H401" s="3">
        <v>96926</v>
      </c>
      <c r="I401" s="4">
        <v>47.5</v>
      </c>
      <c r="J401" s="5">
        <v>82272.20255658956</v>
      </c>
      <c r="K401" s="6">
        <v>5.2317713004760274E-3</v>
      </c>
      <c r="L401" s="5">
        <v>598.9338154881043</v>
      </c>
      <c r="M401" s="5">
        <v>171.25435899552235</v>
      </c>
      <c r="N401" s="11">
        <v>858.4060520397004</v>
      </c>
      <c r="O401" s="13">
        <v>2024</v>
      </c>
    </row>
    <row r="402" spans="1:15" ht="14.5" customHeight="1" x14ac:dyDescent="0.35">
      <c r="A402" s="20" t="s">
        <v>849</v>
      </c>
      <c r="B402" s="15" t="s">
        <v>850</v>
      </c>
      <c r="C402" s="15" t="s">
        <v>3108</v>
      </c>
      <c r="D402" s="16" t="s">
        <v>1</v>
      </c>
      <c r="E402" s="15" t="s">
        <v>217</v>
      </c>
      <c r="F402" s="15" t="s">
        <v>170</v>
      </c>
      <c r="G402" s="17" t="str">
        <f t="shared" si="6"/>
        <v>Small</v>
      </c>
      <c r="H402" s="3">
        <v>2934</v>
      </c>
      <c r="I402" s="4">
        <v>0.8</v>
      </c>
      <c r="J402" s="5">
        <v>84056.855487389228</v>
      </c>
      <c r="K402" s="6">
        <v>0</v>
      </c>
      <c r="L402" s="5">
        <v>37.934219495569188</v>
      </c>
      <c r="M402" s="5">
        <v>0</v>
      </c>
      <c r="N402" s="11">
        <v>99.772665303340148</v>
      </c>
      <c r="O402" s="13">
        <v>2024</v>
      </c>
    </row>
    <row r="403" spans="1:15" ht="14.5" customHeight="1" x14ac:dyDescent="0.35">
      <c r="A403" s="20" t="s">
        <v>851</v>
      </c>
      <c r="B403" s="15" t="s">
        <v>852</v>
      </c>
      <c r="C403" s="15" t="s">
        <v>3108</v>
      </c>
      <c r="D403" s="16" t="s">
        <v>55</v>
      </c>
      <c r="E403" s="15" t="s">
        <v>207</v>
      </c>
      <c r="F403" s="15" t="s">
        <v>208</v>
      </c>
      <c r="G403" s="17" t="str">
        <f t="shared" si="6"/>
        <v>Medium</v>
      </c>
      <c r="H403" s="3">
        <v>95397</v>
      </c>
      <c r="I403" s="4">
        <v>30.3</v>
      </c>
      <c r="J403" s="5">
        <v>253948.65463274525</v>
      </c>
      <c r="K403" s="6">
        <v>3.2125677576695954E-3</v>
      </c>
      <c r="L403" s="5">
        <v>1006.489510257136</v>
      </c>
      <c r="M403" s="5">
        <v>1201.1908131282955</v>
      </c>
      <c r="N403" s="11">
        <v>1638.681266392025</v>
      </c>
      <c r="O403" s="13">
        <v>2024</v>
      </c>
    </row>
    <row r="404" spans="1:15" ht="14.5" customHeight="1" x14ac:dyDescent="0.35">
      <c r="A404" s="20" t="s">
        <v>853</v>
      </c>
      <c r="B404" s="15" t="s">
        <v>248</v>
      </c>
      <c r="C404" s="15" t="s">
        <v>3108</v>
      </c>
      <c r="D404" s="16" t="s">
        <v>61</v>
      </c>
      <c r="E404" s="15" t="s">
        <v>173</v>
      </c>
      <c r="F404" s="15" t="s">
        <v>170</v>
      </c>
      <c r="G404" s="17" t="str">
        <f t="shared" si="6"/>
        <v>Small</v>
      </c>
      <c r="H404" s="3">
        <v>5296</v>
      </c>
      <c r="I404" s="4">
        <v>75.099999999999994</v>
      </c>
      <c r="J404" s="5">
        <v>79321.440332326281</v>
      </c>
      <c r="K404" s="6">
        <v>4.0467989690538579E-3</v>
      </c>
      <c r="L404" s="5">
        <v>485.08826472809665</v>
      </c>
      <c r="M404" s="5">
        <v>0</v>
      </c>
      <c r="N404" s="11">
        <v>637.84925226586108</v>
      </c>
      <c r="O404" s="13">
        <v>2024</v>
      </c>
    </row>
    <row r="405" spans="1:15" ht="14.5" customHeight="1" x14ac:dyDescent="0.35">
      <c r="A405" s="20" t="s">
        <v>854</v>
      </c>
      <c r="B405" s="15" t="s">
        <v>855</v>
      </c>
      <c r="C405" s="15" t="s">
        <v>3108</v>
      </c>
      <c r="D405" s="16" t="s">
        <v>51</v>
      </c>
      <c r="E405" s="15" t="s">
        <v>217</v>
      </c>
      <c r="F405" s="15" t="s">
        <v>170</v>
      </c>
      <c r="G405" s="17" t="str">
        <f t="shared" si="6"/>
        <v>Small</v>
      </c>
      <c r="H405" s="3">
        <v>8004</v>
      </c>
      <c r="I405" s="4">
        <v>67.400000000000006</v>
      </c>
      <c r="J405" s="5">
        <v>152033.94665167417</v>
      </c>
      <c r="K405" s="6">
        <v>2.049356400271771E-3</v>
      </c>
      <c r="L405" s="5">
        <v>714.0825037481261</v>
      </c>
      <c r="M405" s="5">
        <v>0</v>
      </c>
      <c r="N405" s="11">
        <v>1037.163768115942</v>
      </c>
      <c r="O405" s="13">
        <v>2024</v>
      </c>
    </row>
    <row r="406" spans="1:15" ht="14.5" customHeight="1" x14ac:dyDescent="0.35">
      <c r="A406" s="20" t="s">
        <v>856</v>
      </c>
      <c r="B406" s="15" t="s">
        <v>857</v>
      </c>
      <c r="C406" s="15" t="s">
        <v>3108</v>
      </c>
      <c r="D406" s="16" t="s">
        <v>37</v>
      </c>
      <c r="E406" s="15" t="s">
        <v>217</v>
      </c>
      <c r="F406" s="15" t="s">
        <v>170</v>
      </c>
      <c r="G406" s="17" t="str">
        <f t="shared" si="6"/>
        <v>Small</v>
      </c>
      <c r="H406" s="3">
        <v>4473</v>
      </c>
      <c r="I406" s="4">
        <v>18.600000000000001</v>
      </c>
      <c r="J406" s="5">
        <v>157122.33422758774</v>
      </c>
      <c r="K406" s="6">
        <v>3.9474354397865084E-3</v>
      </c>
      <c r="L406" s="5">
        <v>932.57768835233628</v>
      </c>
      <c r="M406" s="5">
        <v>2528.0435949027496</v>
      </c>
      <c r="N406" s="11">
        <v>1566.9358372456963</v>
      </c>
      <c r="O406" s="13">
        <v>2024</v>
      </c>
    </row>
    <row r="407" spans="1:15" ht="14.5" customHeight="1" x14ac:dyDescent="0.35">
      <c r="A407" s="20" t="s">
        <v>858</v>
      </c>
      <c r="B407" s="15" t="s">
        <v>859</v>
      </c>
      <c r="C407" s="15" t="s">
        <v>3108</v>
      </c>
      <c r="D407" s="16" t="s">
        <v>248</v>
      </c>
      <c r="E407" s="15" t="s">
        <v>217</v>
      </c>
      <c r="F407" s="15" t="s">
        <v>170</v>
      </c>
      <c r="G407" s="17" t="str">
        <f t="shared" si="6"/>
        <v>Small</v>
      </c>
      <c r="H407" s="3">
        <v>3741</v>
      </c>
      <c r="I407" s="4">
        <v>38.799999999999997</v>
      </c>
      <c r="J407" s="5">
        <v>144979.04089815557</v>
      </c>
      <c r="K407" s="6" t="s">
        <v>27</v>
      </c>
      <c r="L407" s="5">
        <v>0</v>
      </c>
      <c r="M407" s="5">
        <v>0</v>
      </c>
      <c r="N407" s="11">
        <v>0</v>
      </c>
      <c r="O407" s="13">
        <v>2024</v>
      </c>
    </row>
    <row r="408" spans="1:15" ht="14.5" customHeight="1" x14ac:dyDescent="0.35">
      <c r="A408" s="20" t="s">
        <v>860</v>
      </c>
      <c r="B408" s="15" t="s">
        <v>859</v>
      </c>
      <c r="C408" s="15" t="s">
        <v>3108</v>
      </c>
      <c r="D408" s="16" t="s">
        <v>53</v>
      </c>
      <c r="E408" s="15" t="s">
        <v>207</v>
      </c>
      <c r="F408" s="15" t="s">
        <v>208</v>
      </c>
      <c r="G408" s="17" t="str">
        <f t="shared" si="6"/>
        <v>Small</v>
      </c>
      <c r="H408" s="3">
        <v>4689</v>
      </c>
      <c r="I408" s="4">
        <v>30</v>
      </c>
      <c r="J408" s="5">
        <v>133096.65856259331</v>
      </c>
      <c r="K408" s="6">
        <v>2.2056810528641633E-3</v>
      </c>
      <c r="L408" s="5">
        <v>528.64731072723396</v>
      </c>
      <c r="M408" s="5">
        <v>61.427587971849015</v>
      </c>
      <c r="N408" s="11">
        <v>906.91510343356788</v>
      </c>
      <c r="O408" s="13">
        <v>2024</v>
      </c>
    </row>
    <row r="409" spans="1:15" ht="14.5" customHeight="1" x14ac:dyDescent="0.35">
      <c r="A409" s="20" t="s">
        <v>861</v>
      </c>
      <c r="B409" s="15" t="s">
        <v>862</v>
      </c>
      <c r="C409" s="15" t="s">
        <v>3108</v>
      </c>
      <c r="D409" s="16" t="s">
        <v>237</v>
      </c>
      <c r="E409" s="15" t="s">
        <v>217</v>
      </c>
      <c r="F409" s="15" t="s">
        <v>170</v>
      </c>
      <c r="G409" s="17" t="str">
        <f t="shared" si="6"/>
        <v>Small</v>
      </c>
      <c r="H409" s="3">
        <v>4868</v>
      </c>
      <c r="I409" s="4">
        <v>43.7</v>
      </c>
      <c r="J409" s="5">
        <v>108615.6082580115</v>
      </c>
      <c r="K409" s="6">
        <v>2.5179635236042062E-3</v>
      </c>
      <c r="L409" s="5">
        <v>306.85105998356613</v>
      </c>
      <c r="M409" s="5">
        <v>44.440180772391123</v>
      </c>
      <c r="N409" s="11">
        <v>469.89250205423178</v>
      </c>
      <c r="O409" s="13">
        <v>2024</v>
      </c>
    </row>
    <row r="410" spans="1:15" ht="14.5" customHeight="1" x14ac:dyDescent="0.35">
      <c r="A410" s="20" t="s">
        <v>863</v>
      </c>
      <c r="B410" s="15" t="s">
        <v>864</v>
      </c>
      <c r="C410" s="15" t="s">
        <v>3108</v>
      </c>
      <c r="D410" s="16" t="s">
        <v>18</v>
      </c>
      <c r="E410" s="15" t="s">
        <v>173</v>
      </c>
      <c r="F410" s="15" t="s">
        <v>170</v>
      </c>
      <c r="G410" s="17" t="str">
        <f t="shared" si="6"/>
        <v>Small</v>
      </c>
      <c r="H410" s="3">
        <v>777</v>
      </c>
      <c r="I410" s="4">
        <v>41.3</v>
      </c>
      <c r="J410" s="5">
        <v>124217.62290862291</v>
      </c>
      <c r="K410" s="6">
        <v>7.4058799097896566E-3</v>
      </c>
      <c r="L410" s="5">
        <v>974.18404118404123</v>
      </c>
      <c r="M410" s="5">
        <v>30.888030888030887</v>
      </c>
      <c r="N410" s="11">
        <v>2729.7541827541827</v>
      </c>
      <c r="O410" s="13">
        <v>2024</v>
      </c>
    </row>
    <row r="411" spans="1:15" ht="14.5" customHeight="1" x14ac:dyDescent="0.35">
      <c r="A411" s="20" t="s">
        <v>865</v>
      </c>
      <c r="B411" s="15" t="s">
        <v>866</v>
      </c>
      <c r="C411" s="15" t="s">
        <v>3108</v>
      </c>
      <c r="D411" s="16" t="s">
        <v>597</v>
      </c>
      <c r="E411" s="15" t="s">
        <v>169</v>
      </c>
      <c r="F411" s="15" t="s">
        <v>170</v>
      </c>
      <c r="G411" s="17" t="str">
        <f t="shared" si="6"/>
        <v>Small</v>
      </c>
      <c r="H411" s="3">
        <v>1179</v>
      </c>
      <c r="I411" s="4">
        <v>93</v>
      </c>
      <c r="J411" s="5">
        <v>260076.75148430874</v>
      </c>
      <c r="K411" s="6">
        <v>3.0881159274147854E-3</v>
      </c>
      <c r="L411" s="5">
        <v>824.22754028838006</v>
      </c>
      <c r="M411" s="5">
        <v>843.64915182357925</v>
      </c>
      <c r="N411" s="11">
        <v>1402.5592111959288</v>
      </c>
      <c r="O411" s="13">
        <v>2024</v>
      </c>
    </row>
    <row r="412" spans="1:15" ht="14.5" customHeight="1" x14ac:dyDescent="0.35">
      <c r="A412" s="20" t="s">
        <v>867</v>
      </c>
      <c r="B412" s="15" t="s">
        <v>868</v>
      </c>
      <c r="C412" s="15" t="s">
        <v>3108</v>
      </c>
      <c r="D412" s="16" t="s">
        <v>39</v>
      </c>
      <c r="E412" s="15" t="s">
        <v>173</v>
      </c>
      <c r="F412" s="15" t="s">
        <v>170</v>
      </c>
      <c r="G412" s="17" t="str">
        <f t="shared" si="6"/>
        <v>Small</v>
      </c>
      <c r="H412" s="3">
        <v>5746</v>
      </c>
      <c r="I412" s="4">
        <v>49.4</v>
      </c>
      <c r="J412" s="5">
        <v>64719.343891402714</v>
      </c>
      <c r="K412" s="6">
        <v>4.8458638311798235E-3</v>
      </c>
      <c r="L412" s="5">
        <v>405.26383919248173</v>
      </c>
      <c r="M412" s="5">
        <v>0</v>
      </c>
      <c r="N412" s="11">
        <v>468.43576400974587</v>
      </c>
      <c r="O412" s="13">
        <v>2024</v>
      </c>
    </row>
    <row r="413" spans="1:15" ht="14.5" customHeight="1" x14ac:dyDescent="0.35">
      <c r="A413" s="20" t="s">
        <v>869</v>
      </c>
      <c r="B413" s="15" t="s">
        <v>870</v>
      </c>
      <c r="C413" s="15" t="s">
        <v>3108</v>
      </c>
      <c r="D413" s="16" t="s">
        <v>193</v>
      </c>
      <c r="E413" s="15" t="s">
        <v>186</v>
      </c>
      <c r="F413" s="15" t="s">
        <v>170</v>
      </c>
      <c r="G413" s="17" t="str">
        <f t="shared" si="6"/>
        <v>Small</v>
      </c>
      <c r="H413" s="3">
        <v>489</v>
      </c>
      <c r="I413" s="4">
        <v>33.4</v>
      </c>
      <c r="J413" s="5">
        <v>105728.0163599182</v>
      </c>
      <c r="K413" s="6">
        <v>1.3716311096497166E-2</v>
      </c>
      <c r="L413" s="5">
        <v>1526.9427402862987</v>
      </c>
      <c r="M413" s="5">
        <v>0</v>
      </c>
      <c r="N413" s="11">
        <v>1568.0633946830267</v>
      </c>
      <c r="O413" s="13">
        <v>2024</v>
      </c>
    </row>
    <row r="414" spans="1:15" ht="14.5" customHeight="1" x14ac:dyDescent="0.35">
      <c r="A414" s="20" t="s">
        <v>871</v>
      </c>
      <c r="B414" s="15" t="s">
        <v>872</v>
      </c>
      <c r="C414" s="15" t="s">
        <v>3108</v>
      </c>
      <c r="D414" s="16" t="s">
        <v>269</v>
      </c>
      <c r="E414" s="15" t="s">
        <v>178</v>
      </c>
      <c r="F414" s="15" t="s">
        <v>170</v>
      </c>
      <c r="G414" s="17" t="str">
        <f t="shared" si="6"/>
        <v>Small</v>
      </c>
      <c r="H414" s="3">
        <v>2316</v>
      </c>
      <c r="I414" s="4">
        <v>39.1</v>
      </c>
      <c r="J414" s="5">
        <v>81164.646373056996</v>
      </c>
      <c r="K414" s="6">
        <v>3.9847732482579641E-3</v>
      </c>
      <c r="L414" s="5">
        <v>393.67098445595855</v>
      </c>
      <c r="M414" s="5">
        <v>251.92141623488774</v>
      </c>
      <c r="N414" s="11">
        <v>795.58419689119171</v>
      </c>
      <c r="O414" s="13">
        <v>2024</v>
      </c>
    </row>
    <row r="415" spans="1:15" ht="14.5" customHeight="1" x14ac:dyDescent="0.35">
      <c r="A415" s="20" t="s">
        <v>873</v>
      </c>
      <c r="B415" s="15" t="s">
        <v>874</v>
      </c>
      <c r="C415" s="15" t="s">
        <v>3108</v>
      </c>
      <c r="D415" s="16" t="s">
        <v>1</v>
      </c>
      <c r="E415" s="15" t="s">
        <v>217</v>
      </c>
      <c r="F415" s="15" t="s">
        <v>170</v>
      </c>
      <c r="G415" s="17" t="str">
        <f t="shared" si="6"/>
        <v>Medium</v>
      </c>
      <c r="H415" s="3">
        <v>36848</v>
      </c>
      <c r="I415" s="4">
        <v>57.9</v>
      </c>
      <c r="J415" s="5">
        <v>137048.71984910985</v>
      </c>
      <c r="K415" s="6">
        <v>2.6907446367156322E-3</v>
      </c>
      <c r="L415" s="5">
        <v>838.26934976118105</v>
      </c>
      <c r="M415" s="5">
        <v>186.57729049066435</v>
      </c>
      <c r="N415" s="11">
        <v>1245.613954624403</v>
      </c>
      <c r="O415" s="13">
        <v>2024</v>
      </c>
    </row>
    <row r="416" spans="1:15" ht="14.5" customHeight="1" x14ac:dyDescent="0.35">
      <c r="A416" s="20" t="s">
        <v>875</v>
      </c>
      <c r="B416" s="15" t="s">
        <v>876</v>
      </c>
      <c r="C416" s="15" t="s">
        <v>3108</v>
      </c>
      <c r="D416" s="16" t="s">
        <v>61</v>
      </c>
      <c r="E416" s="15" t="s">
        <v>173</v>
      </c>
      <c r="F416" s="15" t="s">
        <v>170</v>
      </c>
      <c r="G416" s="17" t="str">
        <f t="shared" si="6"/>
        <v>Small</v>
      </c>
      <c r="H416" s="3">
        <v>2741</v>
      </c>
      <c r="I416" s="4">
        <v>61.7</v>
      </c>
      <c r="J416" s="5">
        <v>71905.384531192991</v>
      </c>
      <c r="K416" s="6">
        <v>6.0820225678725054E-3</v>
      </c>
      <c r="L416" s="5">
        <v>618.79184968989421</v>
      </c>
      <c r="M416" s="5">
        <v>160.63443998540677</v>
      </c>
      <c r="N416" s="11">
        <v>1034.6922655964977</v>
      </c>
      <c r="O416" s="13">
        <v>2024</v>
      </c>
    </row>
    <row r="417" spans="1:15" ht="14.5" customHeight="1" x14ac:dyDescent="0.35">
      <c r="A417" s="20" t="s">
        <v>877</v>
      </c>
      <c r="B417" s="15" t="s">
        <v>878</v>
      </c>
      <c r="C417" s="15" t="s">
        <v>3108</v>
      </c>
      <c r="D417" s="16" t="s">
        <v>51</v>
      </c>
      <c r="E417" s="15" t="s">
        <v>217</v>
      </c>
      <c r="F417" s="15" t="s">
        <v>170</v>
      </c>
      <c r="G417" s="17" t="str">
        <f t="shared" si="6"/>
        <v>Small</v>
      </c>
      <c r="H417" s="3">
        <v>1976</v>
      </c>
      <c r="I417" s="4">
        <v>39.700000000000003</v>
      </c>
      <c r="J417" s="5">
        <v>150401.99645748988</v>
      </c>
      <c r="K417" s="6">
        <v>5.143130835817215E-3</v>
      </c>
      <c r="L417" s="5">
        <v>1193.4171659919027</v>
      </c>
      <c r="M417" s="5">
        <v>0</v>
      </c>
      <c r="N417" s="11">
        <v>1558.8162449392712</v>
      </c>
      <c r="O417" s="13">
        <v>2024</v>
      </c>
    </row>
    <row r="418" spans="1:15" ht="14.5" customHeight="1" x14ac:dyDescent="0.35">
      <c r="A418" s="20" t="s">
        <v>879</v>
      </c>
      <c r="B418" s="15" t="s">
        <v>880</v>
      </c>
      <c r="C418" s="15" t="s">
        <v>3108</v>
      </c>
      <c r="D418" s="16" t="s">
        <v>32</v>
      </c>
      <c r="E418" s="15" t="s">
        <v>217</v>
      </c>
      <c r="F418" s="15" t="s">
        <v>170</v>
      </c>
      <c r="G418" s="17" t="str">
        <f t="shared" si="6"/>
        <v>Small</v>
      </c>
      <c r="H418" s="3">
        <v>633</v>
      </c>
      <c r="I418" s="4">
        <v>63.8</v>
      </c>
      <c r="J418" s="5">
        <v>1539612.1895734598</v>
      </c>
      <c r="K418" s="6">
        <v>3.1575317735888756E-4</v>
      </c>
      <c r="L418" s="5">
        <v>4150.9047077409168</v>
      </c>
      <c r="M418" s="5">
        <v>1627.172195892575</v>
      </c>
      <c r="N418" s="11">
        <v>4590.273096366509</v>
      </c>
      <c r="O418" s="13">
        <v>2024</v>
      </c>
    </row>
    <row r="419" spans="1:15" ht="14.5" customHeight="1" x14ac:dyDescent="0.35">
      <c r="A419" s="20" t="s">
        <v>881</v>
      </c>
      <c r="B419" s="15" t="s">
        <v>882</v>
      </c>
      <c r="C419" s="15" t="s">
        <v>3108</v>
      </c>
      <c r="D419" s="16" t="s">
        <v>248</v>
      </c>
      <c r="E419" s="15" t="s">
        <v>217</v>
      </c>
      <c r="F419" s="15" t="s">
        <v>170</v>
      </c>
      <c r="G419" s="17" t="str">
        <f t="shared" si="6"/>
        <v>Small</v>
      </c>
      <c r="H419" s="3">
        <v>249</v>
      </c>
      <c r="I419" s="4">
        <v>23</v>
      </c>
      <c r="J419" s="5">
        <v>424901.04819277109</v>
      </c>
      <c r="K419" s="6">
        <v>3.17273019512665E-3</v>
      </c>
      <c r="L419" s="5">
        <v>1355.8514056224899</v>
      </c>
      <c r="M419" s="5">
        <v>0</v>
      </c>
      <c r="N419" s="11">
        <v>1934.5381526104418</v>
      </c>
      <c r="O419" s="13">
        <v>2024</v>
      </c>
    </row>
    <row r="420" spans="1:15" ht="14.5" customHeight="1" x14ac:dyDescent="0.35">
      <c r="A420" s="20" t="s">
        <v>883</v>
      </c>
      <c r="B420" s="15" t="s">
        <v>884</v>
      </c>
      <c r="C420" s="15" t="s">
        <v>3108</v>
      </c>
      <c r="D420" s="16" t="s">
        <v>51</v>
      </c>
      <c r="E420" s="15" t="s">
        <v>217</v>
      </c>
      <c r="F420" s="15" t="s">
        <v>170</v>
      </c>
      <c r="G420" s="17" t="str">
        <f t="shared" si="6"/>
        <v>Medium</v>
      </c>
      <c r="H420" s="3">
        <v>25662</v>
      </c>
      <c r="I420" s="4">
        <v>32.6</v>
      </c>
      <c r="J420" s="5">
        <v>147972.07848180187</v>
      </c>
      <c r="K420" s="6">
        <v>1.4403069217910319E-3</v>
      </c>
      <c r="L420" s="5">
        <v>632.94370002338087</v>
      </c>
      <c r="M420" s="5">
        <v>823.98098355545164</v>
      </c>
      <c r="N420" s="11">
        <v>927.74894513288132</v>
      </c>
      <c r="O420" s="13">
        <v>2024</v>
      </c>
    </row>
    <row r="421" spans="1:15" ht="14.5" customHeight="1" x14ac:dyDescent="0.35">
      <c r="A421" s="20" t="s">
        <v>885</v>
      </c>
      <c r="B421" s="15" t="s">
        <v>886</v>
      </c>
      <c r="C421" s="15" t="s">
        <v>3108</v>
      </c>
      <c r="D421" s="16" t="s">
        <v>13</v>
      </c>
      <c r="E421" s="15" t="s">
        <v>186</v>
      </c>
      <c r="F421" s="15" t="s">
        <v>170</v>
      </c>
      <c r="G421" s="17" t="str">
        <f t="shared" si="6"/>
        <v>Medium</v>
      </c>
      <c r="H421" s="3">
        <v>60085</v>
      </c>
      <c r="I421" s="4">
        <v>41.3</v>
      </c>
      <c r="J421" s="5">
        <v>118975.66822002163</v>
      </c>
      <c r="K421" s="6">
        <v>4.3410463763556345E-3</v>
      </c>
      <c r="L421" s="5">
        <v>649.47682366647246</v>
      </c>
      <c r="M421" s="5">
        <v>161.09079886826996</v>
      </c>
      <c r="N421" s="11">
        <v>980.42197902970793</v>
      </c>
      <c r="O421" s="13">
        <v>2024</v>
      </c>
    </row>
    <row r="422" spans="1:15" ht="14.5" customHeight="1" x14ac:dyDescent="0.35">
      <c r="A422" s="20" t="s">
        <v>887</v>
      </c>
      <c r="B422" s="15" t="s">
        <v>888</v>
      </c>
      <c r="C422" s="15" t="s">
        <v>3108</v>
      </c>
      <c r="D422" s="16" t="s">
        <v>220</v>
      </c>
      <c r="E422" s="15" t="s">
        <v>173</v>
      </c>
      <c r="F422" s="15" t="s">
        <v>170</v>
      </c>
      <c r="G422" s="17" t="str">
        <f t="shared" si="6"/>
        <v>Small</v>
      </c>
      <c r="H422" s="3">
        <v>1137</v>
      </c>
      <c r="I422" s="4">
        <v>59.9</v>
      </c>
      <c r="J422" s="5">
        <v>187732.79771328057</v>
      </c>
      <c r="K422" s="6">
        <v>4.7285021778014922E-3</v>
      </c>
      <c r="L422" s="5">
        <v>917.2521899736148</v>
      </c>
      <c r="M422" s="5">
        <v>0</v>
      </c>
      <c r="N422" s="11">
        <v>2007.407598944591</v>
      </c>
      <c r="O422" s="13">
        <v>2024</v>
      </c>
    </row>
    <row r="423" spans="1:15" ht="14.5" customHeight="1" x14ac:dyDescent="0.35">
      <c r="A423" s="20" t="s">
        <v>889</v>
      </c>
      <c r="B423" s="15" t="s">
        <v>240</v>
      </c>
      <c r="C423" s="15" t="s">
        <v>3108</v>
      </c>
      <c r="D423" s="16" t="s">
        <v>67</v>
      </c>
      <c r="E423" s="15" t="s">
        <v>183</v>
      </c>
      <c r="F423" s="15" t="s">
        <v>170</v>
      </c>
      <c r="G423" s="17" t="str">
        <f t="shared" si="6"/>
        <v>Small</v>
      </c>
      <c r="H423" s="3">
        <v>6379</v>
      </c>
      <c r="I423" s="4">
        <v>41.3</v>
      </c>
      <c r="J423" s="5">
        <v>58704.773945759523</v>
      </c>
      <c r="K423" s="6">
        <v>3.1178567769284816E-3</v>
      </c>
      <c r="L423" s="5">
        <v>278.18126822385949</v>
      </c>
      <c r="M423" s="5">
        <v>18.811725975858284</v>
      </c>
      <c r="N423" s="11">
        <v>332.46537074776614</v>
      </c>
      <c r="O423" s="13">
        <v>2024</v>
      </c>
    </row>
    <row r="424" spans="1:15" ht="14.5" customHeight="1" x14ac:dyDescent="0.35">
      <c r="A424" s="20" t="s">
        <v>890</v>
      </c>
      <c r="B424" s="15" t="s">
        <v>891</v>
      </c>
      <c r="C424" s="15" t="s">
        <v>3108</v>
      </c>
      <c r="D424" s="16" t="s">
        <v>79</v>
      </c>
      <c r="E424" s="15" t="s">
        <v>178</v>
      </c>
      <c r="F424" s="15" t="s">
        <v>170</v>
      </c>
      <c r="G424" s="17" t="str">
        <f t="shared" si="6"/>
        <v>Small</v>
      </c>
      <c r="H424" s="3">
        <v>8725</v>
      </c>
      <c r="I424" s="4">
        <v>43.5</v>
      </c>
      <c r="J424" s="5">
        <v>72603.311174785107</v>
      </c>
      <c r="K424" s="6">
        <v>3.3229992004753417E-3</v>
      </c>
      <c r="L424" s="5">
        <v>395.97899828080233</v>
      </c>
      <c r="M424" s="5">
        <v>310.60171919770772</v>
      </c>
      <c r="N424" s="11">
        <v>669.16525157593128</v>
      </c>
      <c r="O424" s="13">
        <v>2024</v>
      </c>
    </row>
    <row r="425" spans="1:15" ht="14.5" customHeight="1" x14ac:dyDescent="0.35">
      <c r="A425" s="20" t="s">
        <v>892</v>
      </c>
      <c r="B425" s="15" t="s">
        <v>893</v>
      </c>
      <c r="C425" s="15" t="s">
        <v>3108</v>
      </c>
      <c r="D425" s="16" t="s">
        <v>63</v>
      </c>
      <c r="E425" s="15" t="s">
        <v>169</v>
      </c>
      <c r="F425" s="15" t="s">
        <v>170</v>
      </c>
      <c r="G425" s="17" t="str">
        <f t="shared" si="6"/>
        <v>Small</v>
      </c>
      <c r="H425" s="3">
        <v>1258</v>
      </c>
      <c r="I425" s="4">
        <v>62.2</v>
      </c>
      <c r="J425" s="5">
        <v>218265.81558028617</v>
      </c>
      <c r="K425" s="6">
        <v>5.3490734209110907E-4</v>
      </c>
      <c r="L425" s="5">
        <v>660.26890302066761</v>
      </c>
      <c r="M425" s="5">
        <v>566.77265500794908</v>
      </c>
      <c r="N425" s="11">
        <v>1562.6646899841016</v>
      </c>
      <c r="O425" s="13">
        <v>2024</v>
      </c>
    </row>
    <row r="426" spans="1:15" ht="14.5" customHeight="1" x14ac:dyDescent="0.35">
      <c r="A426" s="20" t="s">
        <v>894</v>
      </c>
      <c r="B426" s="15" t="s">
        <v>895</v>
      </c>
      <c r="C426" s="15" t="s">
        <v>3108</v>
      </c>
      <c r="D426" s="16" t="s">
        <v>237</v>
      </c>
      <c r="E426" s="15" t="s">
        <v>217</v>
      </c>
      <c r="F426" s="15" t="s">
        <v>170</v>
      </c>
      <c r="G426" s="17" t="str">
        <f t="shared" si="6"/>
        <v>Small</v>
      </c>
      <c r="H426" s="3">
        <v>857</v>
      </c>
      <c r="I426" s="4">
        <v>22.2</v>
      </c>
      <c r="J426" s="5">
        <v>112125.85064177364</v>
      </c>
      <c r="K426" s="6">
        <v>5.3700077427999253E-3</v>
      </c>
      <c r="L426" s="5">
        <v>645.48386231038512</v>
      </c>
      <c r="M426" s="5">
        <v>0</v>
      </c>
      <c r="N426" s="11">
        <v>854.69106184364057</v>
      </c>
      <c r="O426" s="13">
        <v>2024</v>
      </c>
    </row>
    <row r="427" spans="1:15" ht="14.5" customHeight="1" x14ac:dyDescent="0.35">
      <c r="A427" s="20" t="s">
        <v>896</v>
      </c>
      <c r="B427" s="15" t="s">
        <v>897</v>
      </c>
      <c r="C427" s="15" t="s">
        <v>3108</v>
      </c>
      <c r="D427" s="16" t="s">
        <v>53</v>
      </c>
      <c r="E427" s="15" t="s">
        <v>207</v>
      </c>
      <c r="F427" s="15" t="s">
        <v>208</v>
      </c>
      <c r="G427" s="17" t="str">
        <f t="shared" si="6"/>
        <v>Small</v>
      </c>
      <c r="H427" s="3">
        <v>5489</v>
      </c>
      <c r="I427" s="4">
        <v>26.8</v>
      </c>
      <c r="J427" s="5">
        <v>185931.94971761704</v>
      </c>
      <c r="K427" s="6">
        <v>1.3849686906413786E-3</v>
      </c>
      <c r="L427" s="5">
        <v>487.36182182546924</v>
      </c>
      <c r="M427" s="5">
        <v>106.67207505920933</v>
      </c>
      <c r="N427" s="11">
        <v>736.80026052104211</v>
      </c>
      <c r="O427" s="13">
        <v>2024</v>
      </c>
    </row>
    <row r="428" spans="1:15" ht="14.5" customHeight="1" x14ac:dyDescent="0.35">
      <c r="A428" s="20" t="s">
        <v>898</v>
      </c>
      <c r="B428" s="15" t="s">
        <v>899</v>
      </c>
      <c r="C428" s="15" t="s">
        <v>3108</v>
      </c>
      <c r="D428" s="16" t="s">
        <v>220</v>
      </c>
      <c r="E428" s="15" t="s">
        <v>173</v>
      </c>
      <c r="F428" s="15" t="s">
        <v>170</v>
      </c>
      <c r="G428" s="17" t="str">
        <f t="shared" si="6"/>
        <v>Small</v>
      </c>
      <c r="H428" s="3">
        <v>2764</v>
      </c>
      <c r="I428" s="4">
        <v>158.80000000000001</v>
      </c>
      <c r="J428" s="5">
        <v>234100.39073806079</v>
      </c>
      <c r="K428" s="6">
        <v>4.1159821905292901E-3</v>
      </c>
      <c r="L428" s="5">
        <v>1007.2926555716355</v>
      </c>
      <c r="M428" s="5">
        <v>117.79576700434153</v>
      </c>
      <c r="N428" s="11">
        <v>1588.2145441389291</v>
      </c>
      <c r="O428" s="13">
        <v>2024</v>
      </c>
    </row>
    <row r="429" spans="1:15" ht="14.5" customHeight="1" x14ac:dyDescent="0.35">
      <c r="A429" s="20" t="s">
        <v>900</v>
      </c>
      <c r="B429" s="15" t="s">
        <v>901</v>
      </c>
      <c r="C429" s="15" t="s">
        <v>3108</v>
      </c>
      <c r="D429" s="16" t="s">
        <v>26</v>
      </c>
      <c r="E429" s="15" t="s">
        <v>183</v>
      </c>
      <c r="F429" s="15" t="s">
        <v>170</v>
      </c>
      <c r="G429" s="17" t="str">
        <f t="shared" si="6"/>
        <v>Small</v>
      </c>
      <c r="H429" s="3">
        <v>4525</v>
      </c>
      <c r="I429" s="4">
        <v>44.7</v>
      </c>
      <c r="J429" s="5">
        <v>48401.802209944748</v>
      </c>
      <c r="K429" s="6">
        <v>5.5446910325767287E-3</v>
      </c>
      <c r="L429" s="5">
        <v>339.13562209944757</v>
      </c>
      <c r="M429" s="5">
        <v>1327.0083049723758</v>
      </c>
      <c r="N429" s="11">
        <v>554.5344950276243</v>
      </c>
      <c r="O429" s="13">
        <v>2024</v>
      </c>
    </row>
    <row r="430" spans="1:15" ht="14.5" customHeight="1" x14ac:dyDescent="0.35">
      <c r="A430" s="20" t="s">
        <v>902</v>
      </c>
      <c r="B430" s="15" t="s">
        <v>903</v>
      </c>
      <c r="C430" s="15" t="s">
        <v>3108</v>
      </c>
      <c r="D430" s="16" t="s">
        <v>22</v>
      </c>
      <c r="E430" s="15" t="s">
        <v>186</v>
      </c>
      <c r="F430" s="15" t="s">
        <v>170</v>
      </c>
      <c r="G430" s="17" t="str">
        <f t="shared" si="6"/>
        <v>Small</v>
      </c>
      <c r="H430" s="3">
        <v>6972</v>
      </c>
      <c r="I430" s="4">
        <v>49.2</v>
      </c>
      <c r="J430" s="5">
        <v>91129.979776247856</v>
      </c>
      <c r="K430" s="6">
        <v>3.5376547163231075E-3</v>
      </c>
      <c r="L430" s="5">
        <v>554.73202237521514</v>
      </c>
      <c r="M430" s="5">
        <v>1489.2170109007459</v>
      </c>
      <c r="N430" s="11">
        <v>807.61064543889847</v>
      </c>
      <c r="O430" s="13">
        <v>2024</v>
      </c>
    </row>
    <row r="431" spans="1:15" ht="14.5" customHeight="1" x14ac:dyDescent="0.35">
      <c r="A431" s="20" t="s">
        <v>904</v>
      </c>
      <c r="B431" s="15" t="s">
        <v>905</v>
      </c>
      <c r="C431" s="15" t="s">
        <v>3108</v>
      </c>
      <c r="D431" s="16" t="s">
        <v>43</v>
      </c>
      <c r="E431" s="15" t="s">
        <v>207</v>
      </c>
      <c r="F431" s="15" t="s">
        <v>208</v>
      </c>
      <c r="G431" s="17" t="str">
        <f t="shared" si="6"/>
        <v>Small</v>
      </c>
      <c r="H431" s="3">
        <v>221</v>
      </c>
      <c r="I431" s="4">
        <v>80.8</v>
      </c>
      <c r="J431" s="5">
        <v>946296.61538461538</v>
      </c>
      <c r="K431" s="6">
        <v>5.7160289232683547E-3</v>
      </c>
      <c r="L431" s="5">
        <v>5660.7974208144797</v>
      </c>
      <c r="M431" s="5">
        <v>0</v>
      </c>
      <c r="N431" s="11">
        <v>5487.630316742082</v>
      </c>
      <c r="O431" s="13">
        <v>2024</v>
      </c>
    </row>
    <row r="432" spans="1:15" ht="14.5" customHeight="1" x14ac:dyDescent="0.35">
      <c r="A432" s="20" t="s">
        <v>906</v>
      </c>
      <c r="B432" s="15" t="s">
        <v>907</v>
      </c>
      <c r="C432" s="15" t="s">
        <v>3108</v>
      </c>
      <c r="D432" s="16" t="s">
        <v>20</v>
      </c>
      <c r="E432" s="15" t="s">
        <v>183</v>
      </c>
      <c r="F432" s="15" t="s">
        <v>170</v>
      </c>
      <c r="G432" s="17" t="str">
        <f t="shared" si="6"/>
        <v>Small</v>
      </c>
      <c r="H432" s="3">
        <v>876</v>
      </c>
      <c r="I432" s="4">
        <v>24.2</v>
      </c>
      <c r="J432" s="5">
        <v>91848.767123287675</v>
      </c>
      <c r="K432" s="6">
        <v>4.6942238780445121E-3</v>
      </c>
      <c r="L432" s="5">
        <v>700.38476027397269</v>
      </c>
      <c r="M432" s="5">
        <v>0</v>
      </c>
      <c r="N432" s="11">
        <v>1141.2107762557077</v>
      </c>
      <c r="O432" s="13">
        <v>2024</v>
      </c>
    </row>
    <row r="433" spans="1:15" ht="14.5" customHeight="1" x14ac:dyDescent="0.35">
      <c r="A433" s="20" t="s">
        <v>908</v>
      </c>
      <c r="B433" s="15" t="s">
        <v>909</v>
      </c>
      <c r="C433" s="15" t="s">
        <v>3108</v>
      </c>
      <c r="D433" s="16" t="s">
        <v>22</v>
      </c>
      <c r="E433" s="15" t="s">
        <v>186</v>
      </c>
      <c r="F433" s="15" t="s">
        <v>170</v>
      </c>
      <c r="G433" s="17" t="str">
        <f t="shared" si="6"/>
        <v>Small</v>
      </c>
      <c r="H433" s="3">
        <v>2121</v>
      </c>
      <c r="I433" s="4">
        <v>45.4</v>
      </c>
      <c r="J433" s="5">
        <v>67991.921735030643</v>
      </c>
      <c r="K433" s="6">
        <v>3.0977000027168551E-3</v>
      </c>
      <c r="L433" s="5">
        <v>417.79396511079682</v>
      </c>
      <c r="M433" s="5">
        <v>51.862329090051865</v>
      </c>
      <c r="N433" s="11">
        <v>509.50306459217353</v>
      </c>
      <c r="O433" s="13">
        <v>2024</v>
      </c>
    </row>
    <row r="434" spans="1:15" ht="14.5" customHeight="1" x14ac:dyDescent="0.35">
      <c r="A434" s="20" t="s">
        <v>910</v>
      </c>
      <c r="B434" s="15" t="s">
        <v>911</v>
      </c>
      <c r="C434" s="15" t="s">
        <v>3108</v>
      </c>
      <c r="D434" s="16" t="s">
        <v>220</v>
      </c>
      <c r="E434" s="15" t="s">
        <v>173</v>
      </c>
      <c r="F434" s="15" t="s">
        <v>170</v>
      </c>
      <c r="G434" s="17" t="str">
        <f t="shared" si="6"/>
        <v>Small</v>
      </c>
      <c r="H434" s="3">
        <v>1442</v>
      </c>
      <c r="I434" s="4">
        <v>42</v>
      </c>
      <c r="J434" s="5">
        <v>169164.99791955616</v>
      </c>
      <c r="K434" s="6">
        <v>4.5836118268876404E-3</v>
      </c>
      <c r="L434" s="5">
        <v>783.31205963938987</v>
      </c>
      <c r="M434" s="5">
        <v>43.8626907073509</v>
      </c>
      <c r="N434" s="11">
        <v>1172.5991262135922</v>
      </c>
      <c r="O434" s="13">
        <v>2024</v>
      </c>
    </row>
    <row r="435" spans="1:15" ht="14.5" customHeight="1" x14ac:dyDescent="0.35">
      <c r="A435" s="20" t="s">
        <v>912</v>
      </c>
      <c r="B435" s="15" t="s">
        <v>913</v>
      </c>
      <c r="C435" s="15" t="s">
        <v>3108</v>
      </c>
      <c r="D435" s="16" t="s">
        <v>282</v>
      </c>
      <c r="E435" s="15" t="s">
        <v>169</v>
      </c>
      <c r="F435" s="15" t="s">
        <v>170</v>
      </c>
      <c r="G435" s="17" t="str">
        <f t="shared" si="6"/>
        <v>Small</v>
      </c>
      <c r="H435" s="3">
        <v>5254</v>
      </c>
      <c r="I435" s="4">
        <v>196.9</v>
      </c>
      <c r="J435" s="5">
        <v>221373.35915492958</v>
      </c>
      <c r="K435" s="6">
        <v>2.3657031557806668E-3</v>
      </c>
      <c r="L435" s="5">
        <v>533.11793871336124</v>
      </c>
      <c r="M435" s="5">
        <v>180.26302626570231</v>
      </c>
      <c r="N435" s="11">
        <v>1282.9899486105826</v>
      </c>
      <c r="O435" s="13">
        <v>2024</v>
      </c>
    </row>
    <row r="436" spans="1:15" ht="14.5" customHeight="1" x14ac:dyDescent="0.35">
      <c r="A436" s="20" t="s">
        <v>914</v>
      </c>
      <c r="B436" s="15" t="s">
        <v>915</v>
      </c>
      <c r="C436" s="15" t="s">
        <v>3108</v>
      </c>
      <c r="D436" s="16" t="s">
        <v>597</v>
      </c>
      <c r="E436" s="15" t="s">
        <v>169</v>
      </c>
      <c r="F436" s="15" t="s">
        <v>170</v>
      </c>
      <c r="G436" s="17" t="str">
        <f t="shared" si="6"/>
        <v>Small</v>
      </c>
      <c r="H436" s="3">
        <v>480</v>
      </c>
      <c r="I436" s="4">
        <v>39.9</v>
      </c>
      <c r="J436" s="5">
        <v>120211.04375</v>
      </c>
      <c r="K436" s="6">
        <v>3.0423106057868611E-3</v>
      </c>
      <c r="L436" s="5">
        <v>894.23541666666665</v>
      </c>
      <c r="M436" s="5">
        <v>0</v>
      </c>
      <c r="N436" s="11">
        <v>2779.0238958333334</v>
      </c>
      <c r="O436" s="13">
        <v>2024</v>
      </c>
    </row>
    <row r="437" spans="1:15" ht="14.5" customHeight="1" x14ac:dyDescent="0.35">
      <c r="A437" s="20" t="s">
        <v>916</v>
      </c>
      <c r="B437" s="15" t="s">
        <v>917</v>
      </c>
      <c r="C437" s="15" t="s">
        <v>3108</v>
      </c>
      <c r="D437" s="16" t="s">
        <v>55</v>
      </c>
      <c r="E437" s="15" t="s">
        <v>207</v>
      </c>
      <c r="F437" s="15" t="s">
        <v>208</v>
      </c>
      <c r="G437" s="17" t="str">
        <f t="shared" si="6"/>
        <v>Medium</v>
      </c>
      <c r="H437" s="3">
        <v>28218</v>
      </c>
      <c r="I437" s="4">
        <v>16.8</v>
      </c>
      <c r="J437" s="5">
        <v>382106.06311574171</v>
      </c>
      <c r="K437" s="6">
        <v>4.4385261110325112E-3</v>
      </c>
      <c r="L437" s="5">
        <v>1994.732227656106</v>
      </c>
      <c r="M437" s="5">
        <v>0</v>
      </c>
      <c r="N437" s="11">
        <v>3920.2910907931109</v>
      </c>
      <c r="O437" s="13">
        <v>2024</v>
      </c>
    </row>
    <row r="438" spans="1:15" ht="14.5" customHeight="1" x14ac:dyDescent="0.35">
      <c r="A438" s="20" t="s">
        <v>918</v>
      </c>
      <c r="B438" s="15" t="s">
        <v>919</v>
      </c>
      <c r="C438" s="15" t="s">
        <v>3108</v>
      </c>
      <c r="D438" s="16" t="s">
        <v>237</v>
      </c>
      <c r="E438" s="15" t="s">
        <v>217</v>
      </c>
      <c r="F438" s="15" t="s">
        <v>170</v>
      </c>
      <c r="G438" s="17" t="str">
        <f t="shared" si="6"/>
        <v>Small</v>
      </c>
      <c r="H438" s="3">
        <v>2193</v>
      </c>
      <c r="I438" s="4">
        <v>43.4</v>
      </c>
      <c r="J438" s="5">
        <v>84214.166438668486</v>
      </c>
      <c r="K438" s="6">
        <v>5.3670947208853169E-3</v>
      </c>
      <c r="L438" s="5">
        <v>489.83753305973551</v>
      </c>
      <c r="M438" s="5">
        <v>67.852257181942548</v>
      </c>
      <c r="N438" s="11">
        <v>753.68641586867307</v>
      </c>
      <c r="O438" s="13">
        <v>2024</v>
      </c>
    </row>
    <row r="439" spans="1:15" ht="14.5" customHeight="1" x14ac:dyDescent="0.35">
      <c r="A439" s="20" t="s">
        <v>920</v>
      </c>
      <c r="B439" s="15" t="s">
        <v>921</v>
      </c>
      <c r="C439" s="15" t="s">
        <v>3108</v>
      </c>
      <c r="D439" s="16" t="s">
        <v>48</v>
      </c>
      <c r="E439" s="15" t="s">
        <v>186</v>
      </c>
      <c r="F439" s="15" t="s">
        <v>170</v>
      </c>
      <c r="G439" s="17" t="str">
        <f t="shared" si="6"/>
        <v>Small</v>
      </c>
      <c r="H439" s="3">
        <v>3874</v>
      </c>
      <c r="I439" s="4">
        <v>52.4</v>
      </c>
      <c r="J439" s="5">
        <v>75919.896489416627</v>
      </c>
      <c r="K439" s="6">
        <v>4.963536565057213E-3</v>
      </c>
      <c r="L439" s="5">
        <v>730.40010325245225</v>
      </c>
      <c r="M439" s="5">
        <v>0</v>
      </c>
      <c r="N439" s="11">
        <v>1093.184047496128</v>
      </c>
      <c r="O439" s="13">
        <v>2024</v>
      </c>
    </row>
    <row r="440" spans="1:15" ht="14.5" customHeight="1" x14ac:dyDescent="0.35">
      <c r="A440" s="20" t="s">
        <v>922</v>
      </c>
      <c r="B440" s="15" t="s">
        <v>923</v>
      </c>
      <c r="C440" s="15" t="s">
        <v>3108</v>
      </c>
      <c r="D440" s="16" t="s">
        <v>18</v>
      </c>
      <c r="E440" s="15" t="s">
        <v>173</v>
      </c>
      <c r="F440" s="15" t="s">
        <v>170</v>
      </c>
      <c r="G440" s="17" t="str">
        <f t="shared" si="6"/>
        <v>Small</v>
      </c>
      <c r="H440" s="3">
        <v>558</v>
      </c>
      <c r="I440" s="4">
        <v>36.1</v>
      </c>
      <c r="J440" s="5">
        <v>99307.779569892475</v>
      </c>
      <c r="K440" s="6" t="s">
        <v>27</v>
      </c>
      <c r="L440" s="5">
        <v>0</v>
      </c>
      <c r="M440" s="5">
        <v>0</v>
      </c>
      <c r="N440" s="11">
        <v>0</v>
      </c>
      <c r="O440" s="13">
        <v>2024</v>
      </c>
    </row>
    <row r="441" spans="1:15" ht="14.5" customHeight="1" x14ac:dyDescent="0.35">
      <c r="A441" s="20" t="s">
        <v>924</v>
      </c>
      <c r="B441" s="15" t="s">
        <v>925</v>
      </c>
      <c r="C441" s="15" t="s">
        <v>3108</v>
      </c>
      <c r="D441" s="16" t="s">
        <v>69</v>
      </c>
      <c r="E441" s="15" t="s">
        <v>173</v>
      </c>
      <c r="F441" s="15" t="s">
        <v>170</v>
      </c>
      <c r="G441" s="17" t="str">
        <f t="shared" si="6"/>
        <v>Small</v>
      </c>
      <c r="H441" s="3">
        <v>1952</v>
      </c>
      <c r="I441" s="4">
        <v>40.1</v>
      </c>
      <c r="J441" s="5">
        <v>145136.58862704918</v>
      </c>
      <c r="K441" s="6">
        <v>2.8193305090458867E-3</v>
      </c>
      <c r="L441" s="5">
        <v>575.00730532786883</v>
      </c>
      <c r="M441" s="5">
        <v>802.17178278688527</v>
      </c>
      <c r="N441" s="11">
        <v>950.05194672131142</v>
      </c>
      <c r="O441" s="13">
        <v>2024</v>
      </c>
    </row>
    <row r="442" spans="1:15" ht="14.5" customHeight="1" x14ac:dyDescent="0.35">
      <c r="A442" s="20" t="s">
        <v>926</v>
      </c>
      <c r="B442" s="15" t="s">
        <v>927</v>
      </c>
      <c r="C442" s="15" t="s">
        <v>3108</v>
      </c>
      <c r="D442" s="16" t="s">
        <v>26</v>
      </c>
      <c r="E442" s="15" t="s">
        <v>183</v>
      </c>
      <c r="F442" s="15" t="s">
        <v>170</v>
      </c>
      <c r="G442" s="17" t="str">
        <f t="shared" si="6"/>
        <v>Small</v>
      </c>
      <c r="H442" s="3">
        <v>9342</v>
      </c>
      <c r="I442" s="4">
        <v>45.7</v>
      </c>
      <c r="J442" s="5">
        <v>76159.80871333761</v>
      </c>
      <c r="K442" s="6">
        <v>4.6168540297114062E-3</v>
      </c>
      <c r="L442" s="5">
        <v>419.40064547206168</v>
      </c>
      <c r="M442" s="5">
        <v>2869.8645900235497</v>
      </c>
      <c r="N442" s="11">
        <v>706.01605544851213</v>
      </c>
      <c r="O442" s="13">
        <v>2024</v>
      </c>
    </row>
    <row r="443" spans="1:15" ht="14.5" customHeight="1" x14ac:dyDescent="0.35">
      <c r="A443" s="20" t="s">
        <v>928</v>
      </c>
      <c r="B443" s="15" t="s">
        <v>929</v>
      </c>
      <c r="C443" s="15" t="s">
        <v>3108</v>
      </c>
      <c r="D443" s="16" t="s">
        <v>513</v>
      </c>
      <c r="E443" s="15" t="s">
        <v>207</v>
      </c>
      <c r="F443" s="15" t="s">
        <v>208</v>
      </c>
      <c r="G443" s="17" t="str">
        <f t="shared" si="6"/>
        <v>Medium</v>
      </c>
      <c r="H443" s="3">
        <v>39087</v>
      </c>
      <c r="I443" s="4">
        <v>22.2</v>
      </c>
      <c r="J443" s="5">
        <v>112173.50543659017</v>
      </c>
      <c r="K443" s="6">
        <v>8.7822730883517861E-3</v>
      </c>
      <c r="L443" s="5">
        <v>1044.4782920152481</v>
      </c>
      <c r="M443" s="5">
        <v>512.57451326527996</v>
      </c>
      <c r="N443" s="11">
        <v>1393.1963568449869</v>
      </c>
      <c r="O443" s="13">
        <v>2024</v>
      </c>
    </row>
    <row r="444" spans="1:15" ht="14.5" customHeight="1" x14ac:dyDescent="0.35">
      <c r="A444" s="20" t="s">
        <v>930</v>
      </c>
      <c r="B444" s="15" t="s">
        <v>931</v>
      </c>
      <c r="C444" s="15" t="s">
        <v>3108</v>
      </c>
      <c r="D444" s="16" t="s">
        <v>237</v>
      </c>
      <c r="E444" s="15" t="s">
        <v>217</v>
      </c>
      <c r="F444" s="15" t="s">
        <v>170</v>
      </c>
      <c r="G444" s="17" t="str">
        <f t="shared" si="6"/>
        <v>Small</v>
      </c>
      <c r="H444" s="3">
        <v>1786</v>
      </c>
      <c r="I444" s="4">
        <v>56.1</v>
      </c>
      <c r="J444" s="5">
        <v>119928.12374020157</v>
      </c>
      <c r="K444" s="6">
        <v>3.8217319874811729E-3</v>
      </c>
      <c r="L444" s="5">
        <v>494.99440089585664</v>
      </c>
      <c r="M444" s="5">
        <v>0</v>
      </c>
      <c r="N444" s="11">
        <v>1098.4405711086226</v>
      </c>
      <c r="O444" s="13">
        <v>2024</v>
      </c>
    </row>
    <row r="445" spans="1:15" ht="14.5" customHeight="1" x14ac:dyDescent="0.35">
      <c r="A445" s="20" t="s">
        <v>932</v>
      </c>
      <c r="B445" s="15" t="s">
        <v>933</v>
      </c>
      <c r="C445" s="15" t="s">
        <v>3108</v>
      </c>
      <c r="D445" s="16" t="s">
        <v>451</v>
      </c>
      <c r="E445" s="15" t="s">
        <v>173</v>
      </c>
      <c r="F445" s="15" t="s">
        <v>170</v>
      </c>
      <c r="G445" s="17" t="str">
        <f t="shared" si="6"/>
        <v>Small</v>
      </c>
      <c r="H445" s="3">
        <v>4895</v>
      </c>
      <c r="I445" s="4">
        <v>102.4</v>
      </c>
      <c r="J445" s="5">
        <v>149924.93932584269</v>
      </c>
      <c r="K445" s="6">
        <v>4.0264047527232621E-3</v>
      </c>
      <c r="L445" s="5">
        <v>766.87946271705812</v>
      </c>
      <c r="M445" s="5">
        <v>310</v>
      </c>
      <c r="N445" s="11">
        <v>1027.3651072522982</v>
      </c>
      <c r="O445" s="13">
        <v>2024</v>
      </c>
    </row>
    <row r="446" spans="1:15" ht="14.5" customHeight="1" x14ac:dyDescent="0.35">
      <c r="A446" s="20" t="s">
        <v>934</v>
      </c>
      <c r="B446" s="15" t="s">
        <v>935</v>
      </c>
      <c r="C446" s="15" t="s">
        <v>3108</v>
      </c>
      <c r="D446" s="16" t="s">
        <v>30</v>
      </c>
      <c r="E446" s="15" t="s">
        <v>273</v>
      </c>
      <c r="F446" s="15" t="s">
        <v>208</v>
      </c>
      <c r="G446" s="17" t="str">
        <f t="shared" si="6"/>
        <v>Large</v>
      </c>
      <c r="H446" s="3">
        <v>793409</v>
      </c>
      <c r="I446" s="4">
        <v>118.6</v>
      </c>
      <c r="J446" s="5">
        <v>169652.99478705184</v>
      </c>
      <c r="K446" s="6">
        <v>1.8847401198445375E-3</v>
      </c>
      <c r="L446" s="5">
        <v>413.81313880986977</v>
      </c>
      <c r="M446" s="5">
        <v>789.64215778999232</v>
      </c>
      <c r="N446" s="11">
        <v>966.90311258127895</v>
      </c>
      <c r="O446" s="13">
        <v>2024</v>
      </c>
    </row>
    <row r="447" spans="1:15" ht="14.5" customHeight="1" x14ac:dyDescent="0.35">
      <c r="A447" s="20" t="s">
        <v>936</v>
      </c>
      <c r="B447" s="15" t="s">
        <v>937</v>
      </c>
      <c r="C447" s="15" t="s">
        <v>3108</v>
      </c>
      <c r="D447" s="16" t="s">
        <v>94</v>
      </c>
      <c r="E447" s="15" t="s">
        <v>169</v>
      </c>
      <c r="F447" s="15" t="s">
        <v>170</v>
      </c>
      <c r="G447" s="17" t="str">
        <f t="shared" si="6"/>
        <v>Small</v>
      </c>
      <c r="H447" s="3">
        <v>1438</v>
      </c>
      <c r="I447" s="4">
        <v>41.2</v>
      </c>
      <c r="J447" s="5">
        <v>300754.34631432546</v>
      </c>
      <c r="K447" s="6">
        <v>7.6283614624561905E-4</v>
      </c>
      <c r="L447" s="5">
        <v>1241.752899860918</v>
      </c>
      <c r="M447" s="5">
        <v>2164.4246175243393</v>
      </c>
      <c r="N447" s="11">
        <v>1943.9402016689846</v>
      </c>
      <c r="O447" s="13">
        <v>2024</v>
      </c>
    </row>
    <row r="448" spans="1:15" ht="14.5" customHeight="1" x14ac:dyDescent="0.35">
      <c r="A448" s="20" t="s">
        <v>938</v>
      </c>
      <c r="B448" s="15" t="s">
        <v>939</v>
      </c>
      <c r="C448" s="15" t="s">
        <v>3108</v>
      </c>
      <c r="D448" s="16" t="s">
        <v>79</v>
      </c>
      <c r="E448" s="15" t="s">
        <v>178</v>
      </c>
      <c r="F448" s="15" t="s">
        <v>170</v>
      </c>
      <c r="G448" s="17" t="str">
        <f t="shared" ref="G448:G511" si="7">IF(H448&lt;=10000,"Small",(IF(H448&lt;=100000,"Medium",IF(H448&gt;100000,"Large"))))</f>
        <v>Medium</v>
      </c>
      <c r="H448" s="3">
        <v>47096</v>
      </c>
      <c r="I448" s="4">
        <v>35.4</v>
      </c>
      <c r="J448" s="5">
        <v>100049.53779514183</v>
      </c>
      <c r="K448" s="6">
        <v>1.1772932599692346E-3</v>
      </c>
      <c r="L448" s="5">
        <v>339.13466111771703</v>
      </c>
      <c r="M448" s="5">
        <v>241.0686470188551</v>
      </c>
      <c r="N448" s="11">
        <v>658.60474350263291</v>
      </c>
      <c r="O448" s="13">
        <v>2024</v>
      </c>
    </row>
    <row r="449" spans="1:15" ht="14.5" customHeight="1" x14ac:dyDescent="0.35">
      <c r="A449" s="20" t="s">
        <v>940</v>
      </c>
      <c r="B449" s="15" t="s">
        <v>46</v>
      </c>
      <c r="C449" s="15" t="s">
        <v>3108</v>
      </c>
      <c r="D449" s="16" t="s">
        <v>46</v>
      </c>
      <c r="E449" s="15" t="s">
        <v>214</v>
      </c>
      <c r="F449" s="15" t="s">
        <v>170</v>
      </c>
      <c r="G449" s="17" t="str">
        <f t="shared" si="7"/>
        <v>Small</v>
      </c>
      <c r="H449" s="3">
        <v>9566</v>
      </c>
      <c r="I449" s="4">
        <v>31.7</v>
      </c>
      <c r="J449" s="5">
        <v>53564.073698515575</v>
      </c>
      <c r="K449" s="6">
        <v>3.0550304588015526E-3</v>
      </c>
      <c r="L449" s="5">
        <v>220.68726008781101</v>
      </c>
      <c r="M449" s="5">
        <v>107.5069517039515</v>
      </c>
      <c r="N449" s="11">
        <v>368.46976270123355</v>
      </c>
      <c r="O449" s="13">
        <v>2024</v>
      </c>
    </row>
    <row r="450" spans="1:15" ht="14.5" customHeight="1" x14ac:dyDescent="0.35">
      <c r="A450" s="20" t="s">
        <v>941</v>
      </c>
      <c r="B450" s="15" t="s">
        <v>942</v>
      </c>
      <c r="C450" s="15" t="s">
        <v>3108</v>
      </c>
      <c r="D450" s="16" t="s">
        <v>63</v>
      </c>
      <c r="E450" s="15" t="s">
        <v>169</v>
      </c>
      <c r="F450" s="15" t="s">
        <v>170</v>
      </c>
      <c r="G450" s="17" t="str">
        <f t="shared" si="7"/>
        <v>Small</v>
      </c>
      <c r="H450" s="3">
        <v>1074</v>
      </c>
      <c r="I450" s="4">
        <v>53.2</v>
      </c>
      <c r="J450" s="5">
        <v>102696.26536312849</v>
      </c>
      <c r="K450" s="6">
        <v>6.9782809205889088E-3</v>
      </c>
      <c r="L450" s="5">
        <v>985.86912476722523</v>
      </c>
      <c r="M450" s="5">
        <v>1687.698193668529</v>
      </c>
      <c r="N450" s="11">
        <v>5726.9815642458107</v>
      </c>
      <c r="O450" s="13">
        <v>2024</v>
      </c>
    </row>
    <row r="451" spans="1:15" ht="14.5" customHeight="1" x14ac:dyDescent="0.35">
      <c r="A451" s="20" t="s">
        <v>943</v>
      </c>
      <c r="B451" s="15" t="s">
        <v>944</v>
      </c>
      <c r="C451" s="15" t="s">
        <v>3108</v>
      </c>
      <c r="D451" s="16" t="s">
        <v>324</v>
      </c>
      <c r="E451" s="15" t="s">
        <v>207</v>
      </c>
      <c r="F451" s="15" t="s">
        <v>208</v>
      </c>
      <c r="G451" s="17" t="str">
        <f t="shared" si="7"/>
        <v>Small</v>
      </c>
      <c r="H451" s="3">
        <v>2196</v>
      </c>
      <c r="I451" s="4">
        <v>50.1</v>
      </c>
      <c r="J451" s="5">
        <v>302274.73406193079</v>
      </c>
      <c r="K451" s="6">
        <v>3.4663652251502178E-3</v>
      </c>
      <c r="L451" s="5">
        <v>1082.7613843351548</v>
      </c>
      <c r="M451" s="5">
        <v>580.60109289617492</v>
      </c>
      <c r="N451" s="11">
        <v>1577.637067395264</v>
      </c>
      <c r="O451" s="13">
        <v>2024</v>
      </c>
    </row>
    <row r="452" spans="1:15" ht="14.5" customHeight="1" x14ac:dyDescent="0.35">
      <c r="A452" s="20" t="s">
        <v>945</v>
      </c>
      <c r="B452" s="15" t="s">
        <v>946</v>
      </c>
      <c r="C452" s="15" t="s">
        <v>3108</v>
      </c>
      <c r="D452" s="16" t="s">
        <v>53</v>
      </c>
      <c r="E452" s="15" t="s">
        <v>207</v>
      </c>
      <c r="F452" s="15" t="s">
        <v>208</v>
      </c>
      <c r="G452" s="17" t="str">
        <f t="shared" si="7"/>
        <v>Medium</v>
      </c>
      <c r="H452" s="3">
        <v>12939</v>
      </c>
      <c r="I452" s="4">
        <v>30.4</v>
      </c>
      <c r="J452" s="5">
        <v>58303.923255274749</v>
      </c>
      <c r="K452" s="6">
        <v>5.1447593936012233E-3</v>
      </c>
      <c r="L452" s="5">
        <v>392.70763969394858</v>
      </c>
      <c r="M452" s="5">
        <v>580.64585748512252</v>
      </c>
      <c r="N452" s="11">
        <v>700.50957570136802</v>
      </c>
      <c r="O452" s="13">
        <v>2024</v>
      </c>
    </row>
    <row r="453" spans="1:15" ht="14.5" customHeight="1" x14ac:dyDescent="0.35">
      <c r="A453" s="20" t="s">
        <v>947</v>
      </c>
      <c r="B453" s="15" t="s">
        <v>948</v>
      </c>
      <c r="C453" s="15" t="s">
        <v>3108</v>
      </c>
      <c r="D453" s="16" t="s">
        <v>37</v>
      </c>
      <c r="E453" s="15" t="s">
        <v>217</v>
      </c>
      <c r="F453" s="15" t="s">
        <v>170</v>
      </c>
      <c r="G453" s="17" t="str">
        <f t="shared" si="7"/>
        <v>Small</v>
      </c>
      <c r="H453" s="3">
        <v>1831</v>
      </c>
      <c r="I453" s="4">
        <v>47.7</v>
      </c>
      <c r="J453" s="5">
        <v>396614.56198798469</v>
      </c>
      <c r="K453" s="6">
        <v>1.4096987325123945E-3</v>
      </c>
      <c r="L453" s="5">
        <v>870.13872200983064</v>
      </c>
      <c r="M453" s="5">
        <v>251.09229929000546</v>
      </c>
      <c r="N453" s="11">
        <v>1787.8689240851993</v>
      </c>
      <c r="O453" s="13">
        <v>2024</v>
      </c>
    </row>
    <row r="454" spans="1:15" ht="14.5" customHeight="1" x14ac:dyDescent="0.35">
      <c r="A454" s="20" t="s">
        <v>949</v>
      </c>
      <c r="B454" s="15" t="s">
        <v>950</v>
      </c>
      <c r="C454" s="15" t="s">
        <v>3108</v>
      </c>
      <c r="D454" s="16" t="s">
        <v>65</v>
      </c>
      <c r="E454" s="15" t="s">
        <v>186</v>
      </c>
      <c r="F454" s="15" t="s">
        <v>170</v>
      </c>
      <c r="G454" s="17" t="str">
        <f t="shared" si="7"/>
        <v>Small</v>
      </c>
      <c r="H454" s="3">
        <v>2113</v>
      </c>
      <c r="I454" s="4">
        <v>38.700000000000003</v>
      </c>
      <c r="J454" s="5">
        <v>82721.008045433031</v>
      </c>
      <c r="K454" s="6">
        <v>3.5771950018276271E-3</v>
      </c>
      <c r="L454" s="5">
        <v>536.98170847136782</v>
      </c>
      <c r="M454" s="5">
        <v>68.622811168954087</v>
      </c>
      <c r="N454" s="11">
        <v>943.00022716516798</v>
      </c>
      <c r="O454" s="13">
        <v>2024</v>
      </c>
    </row>
    <row r="455" spans="1:15" ht="14.5" customHeight="1" x14ac:dyDescent="0.35">
      <c r="A455" s="20" t="s">
        <v>951</v>
      </c>
      <c r="B455" s="15" t="s">
        <v>952</v>
      </c>
      <c r="C455" s="15" t="s">
        <v>3108</v>
      </c>
      <c r="D455" s="16" t="s">
        <v>13</v>
      </c>
      <c r="E455" s="15" t="s">
        <v>186</v>
      </c>
      <c r="F455" s="15" t="s">
        <v>170</v>
      </c>
      <c r="G455" s="17" t="str">
        <f t="shared" si="7"/>
        <v>Small</v>
      </c>
      <c r="H455" s="3">
        <v>3281</v>
      </c>
      <c r="I455" s="4">
        <v>35.799999999999997</v>
      </c>
      <c r="J455" s="5">
        <v>116542.91679366046</v>
      </c>
      <c r="K455" s="6">
        <v>4.9133668522329419E-3</v>
      </c>
      <c r="L455" s="5">
        <v>785.30448034135929</v>
      </c>
      <c r="M455" s="5">
        <v>18.287107589149649</v>
      </c>
      <c r="N455" s="11">
        <v>905.35263639134405</v>
      </c>
      <c r="O455" s="13">
        <v>2024</v>
      </c>
    </row>
    <row r="456" spans="1:15" ht="14.5" customHeight="1" x14ac:dyDescent="0.35">
      <c r="A456" s="20" t="s">
        <v>953</v>
      </c>
      <c r="B456" s="15" t="s">
        <v>954</v>
      </c>
      <c r="C456" s="15" t="s">
        <v>3108</v>
      </c>
      <c r="D456" s="16" t="s">
        <v>20</v>
      </c>
      <c r="E456" s="15" t="s">
        <v>183</v>
      </c>
      <c r="F456" s="15" t="s">
        <v>170</v>
      </c>
      <c r="G456" s="17" t="str">
        <f t="shared" si="7"/>
        <v>Small</v>
      </c>
      <c r="H456" s="3">
        <v>6293</v>
      </c>
      <c r="I456" s="4">
        <v>50.2</v>
      </c>
      <c r="J456" s="5">
        <v>80976.018433179721</v>
      </c>
      <c r="K456" s="6">
        <v>9.2377462783797555E-4</v>
      </c>
      <c r="L456" s="5">
        <v>268.43399014778328</v>
      </c>
      <c r="M456" s="5">
        <v>0</v>
      </c>
      <c r="N456" s="11">
        <v>323.06202606070241</v>
      </c>
      <c r="O456" s="13">
        <v>2024</v>
      </c>
    </row>
    <row r="457" spans="1:15" ht="14.5" customHeight="1" x14ac:dyDescent="0.35">
      <c r="A457" s="20" t="s">
        <v>955</v>
      </c>
      <c r="B457" s="15" t="s">
        <v>956</v>
      </c>
      <c r="C457" s="15" t="s">
        <v>3108</v>
      </c>
      <c r="D457" s="16" t="s">
        <v>77</v>
      </c>
      <c r="E457" s="15" t="s">
        <v>217</v>
      </c>
      <c r="F457" s="15" t="s">
        <v>170</v>
      </c>
      <c r="G457" s="17" t="str">
        <f t="shared" si="7"/>
        <v>Small</v>
      </c>
      <c r="H457" s="3">
        <v>6711</v>
      </c>
      <c r="I457" s="4">
        <v>63</v>
      </c>
      <c r="J457" s="5">
        <v>74002.588883921926</v>
      </c>
      <c r="K457" s="6">
        <v>4.0936962633375627E-3</v>
      </c>
      <c r="L457" s="5">
        <v>373.93488302786471</v>
      </c>
      <c r="M457" s="5">
        <v>0</v>
      </c>
      <c r="N457" s="11">
        <v>460.0303978542691</v>
      </c>
      <c r="O457" s="13">
        <v>2024</v>
      </c>
    </row>
    <row r="458" spans="1:15" ht="14.5" customHeight="1" x14ac:dyDescent="0.35">
      <c r="A458" s="20" t="s">
        <v>957</v>
      </c>
      <c r="B458" s="15" t="s">
        <v>958</v>
      </c>
      <c r="C458" s="15" t="s">
        <v>3108</v>
      </c>
      <c r="D458" s="16" t="s">
        <v>240</v>
      </c>
      <c r="E458" s="15" t="s">
        <v>214</v>
      </c>
      <c r="F458" s="15" t="s">
        <v>170</v>
      </c>
      <c r="G458" s="17" t="str">
        <f t="shared" si="7"/>
        <v>Small</v>
      </c>
      <c r="H458" s="3">
        <v>413</v>
      </c>
      <c r="I458" s="4">
        <v>40.700000000000003</v>
      </c>
      <c r="J458" s="5">
        <v>246029.96610169491</v>
      </c>
      <c r="K458" s="6">
        <v>5.6955305430618618E-3</v>
      </c>
      <c r="L458" s="5">
        <v>1401.2711864406779</v>
      </c>
      <c r="M458" s="5">
        <v>0</v>
      </c>
      <c r="N458" s="11">
        <v>1942.4194673123486</v>
      </c>
      <c r="O458" s="13">
        <v>2024</v>
      </c>
    </row>
    <row r="459" spans="1:15" ht="14.5" customHeight="1" x14ac:dyDescent="0.35">
      <c r="A459" s="20" t="s">
        <v>959</v>
      </c>
      <c r="B459" s="15" t="s">
        <v>960</v>
      </c>
      <c r="C459" s="15" t="s">
        <v>3108</v>
      </c>
      <c r="D459" s="16" t="s">
        <v>15</v>
      </c>
      <c r="E459" s="15" t="s">
        <v>178</v>
      </c>
      <c r="F459" s="15" t="s">
        <v>170</v>
      </c>
      <c r="G459" s="17" t="str">
        <f t="shared" si="7"/>
        <v>Small</v>
      </c>
      <c r="H459" s="3">
        <v>3931</v>
      </c>
      <c r="I459" s="4">
        <v>35.700000000000003</v>
      </c>
      <c r="J459" s="5">
        <v>84741.784533197657</v>
      </c>
      <c r="K459" s="6">
        <v>3.115880584217778E-3</v>
      </c>
      <c r="L459" s="5">
        <v>651.41112948359205</v>
      </c>
      <c r="M459" s="5">
        <v>466.27910455354868</v>
      </c>
      <c r="N459" s="11">
        <v>1048.1679598066651</v>
      </c>
      <c r="O459" s="13">
        <v>2024</v>
      </c>
    </row>
    <row r="460" spans="1:15" ht="14.5" customHeight="1" x14ac:dyDescent="0.35">
      <c r="A460" s="20" t="s">
        <v>961</v>
      </c>
      <c r="B460" s="15" t="s">
        <v>962</v>
      </c>
      <c r="C460" s="15" t="s">
        <v>3108</v>
      </c>
      <c r="D460" s="16" t="s">
        <v>63</v>
      </c>
      <c r="E460" s="15" t="s">
        <v>169</v>
      </c>
      <c r="F460" s="15" t="s">
        <v>170</v>
      </c>
      <c r="G460" s="17" t="str">
        <f t="shared" si="7"/>
        <v>Small</v>
      </c>
      <c r="H460" s="3">
        <v>1105</v>
      </c>
      <c r="I460" s="4">
        <v>185.3</v>
      </c>
      <c r="J460" s="5">
        <v>130256.4</v>
      </c>
      <c r="K460" s="6">
        <v>4.4465029439117645E-3</v>
      </c>
      <c r="L460" s="5">
        <v>989.48047058823522</v>
      </c>
      <c r="M460" s="5">
        <v>212.57767420814477</v>
      </c>
      <c r="N460" s="11">
        <v>1224.8344615384617</v>
      </c>
      <c r="O460" s="13">
        <v>2024</v>
      </c>
    </row>
    <row r="461" spans="1:15" ht="14.5" customHeight="1" x14ac:dyDescent="0.35">
      <c r="A461" s="20" t="s">
        <v>963</v>
      </c>
      <c r="B461" s="15" t="s">
        <v>964</v>
      </c>
      <c r="C461" s="15" t="s">
        <v>3108</v>
      </c>
      <c r="D461" s="16" t="s">
        <v>32</v>
      </c>
      <c r="E461" s="15" t="s">
        <v>217</v>
      </c>
      <c r="F461" s="15" t="s">
        <v>170</v>
      </c>
      <c r="G461" s="17" t="str">
        <f t="shared" si="7"/>
        <v>Small</v>
      </c>
      <c r="H461" s="3">
        <v>1471</v>
      </c>
      <c r="I461" s="4">
        <v>65.8</v>
      </c>
      <c r="J461" s="5">
        <v>569974.46906866075</v>
      </c>
      <c r="K461" s="6">
        <v>8.4681837526793039E-4</v>
      </c>
      <c r="L461" s="5">
        <v>1998.0321481985045</v>
      </c>
      <c r="M461" s="5">
        <v>0</v>
      </c>
      <c r="N461" s="11">
        <v>2556.7590890550646</v>
      </c>
      <c r="O461" s="13">
        <v>2024</v>
      </c>
    </row>
    <row r="462" spans="1:15" ht="14.5" customHeight="1" x14ac:dyDescent="0.35">
      <c r="A462" s="20" t="s">
        <v>965</v>
      </c>
      <c r="B462" s="15" t="s">
        <v>966</v>
      </c>
      <c r="C462" s="15" t="s">
        <v>3108</v>
      </c>
      <c r="D462" s="16" t="s">
        <v>18</v>
      </c>
      <c r="E462" s="15" t="s">
        <v>173</v>
      </c>
      <c r="F462" s="15" t="s">
        <v>170</v>
      </c>
      <c r="G462" s="17" t="str">
        <f t="shared" si="7"/>
        <v>Small</v>
      </c>
      <c r="H462" s="3">
        <v>1684</v>
      </c>
      <c r="I462" s="4">
        <v>40.9</v>
      </c>
      <c r="J462" s="5">
        <v>72018.412707838477</v>
      </c>
      <c r="K462" s="6">
        <v>6.6903418000445868E-3</v>
      </c>
      <c r="L462" s="5">
        <v>711.2632600950119</v>
      </c>
      <c r="M462" s="5">
        <v>0</v>
      </c>
      <c r="N462" s="11">
        <v>929.8554275534442</v>
      </c>
      <c r="O462" s="13">
        <v>2024</v>
      </c>
    </row>
    <row r="463" spans="1:15" ht="14.5" customHeight="1" x14ac:dyDescent="0.35">
      <c r="A463" s="20" t="s">
        <v>967</v>
      </c>
      <c r="B463" s="15" t="s">
        <v>968</v>
      </c>
      <c r="C463" s="15" t="s">
        <v>3108</v>
      </c>
      <c r="D463" s="16" t="s">
        <v>18</v>
      </c>
      <c r="E463" s="15" t="s">
        <v>173</v>
      </c>
      <c r="F463" s="15" t="s">
        <v>170</v>
      </c>
      <c r="G463" s="17" t="str">
        <f t="shared" si="7"/>
        <v>Small</v>
      </c>
      <c r="H463" s="3">
        <v>4034</v>
      </c>
      <c r="I463" s="4">
        <v>43.3</v>
      </c>
      <c r="J463" s="5">
        <v>71261.488349033214</v>
      </c>
      <c r="K463" s="6">
        <v>5.1838388441148775E-3</v>
      </c>
      <c r="L463" s="5">
        <v>510.51721864154683</v>
      </c>
      <c r="M463" s="5">
        <v>0</v>
      </c>
      <c r="N463" s="11">
        <v>971.89070897372335</v>
      </c>
      <c r="O463" s="13">
        <v>2024</v>
      </c>
    </row>
    <row r="464" spans="1:15" ht="14.5" customHeight="1" x14ac:dyDescent="0.35">
      <c r="A464" s="20" t="s">
        <v>969</v>
      </c>
      <c r="B464" s="15" t="s">
        <v>970</v>
      </c>
      <c r="C464" s="15" t="s">
        <v>3108</v>
      </c>
      <c r="D464" s="16" t="s">
        <v>24</v>
      </c>
      <c r="E464" s="15" t="s">
        <v>173</v>
      </c>
      <c r="F464" s="15" t="s">
        <v>170</v>
      </c>
      <c r="G464" s="17" t="str">
        <f t="shared" si="7"/>
        <v>Medium</v>
      </c>
      <c r="H464" s="3">
        <v>19374</v>
      </c>
      <c r="I464" s="4">
        <v>35.6</v>
      </c>
      <c r="J464" s="5">
        <v>78833.090791782801</v>
      </c>
      <c r="K464" s="6">
        <v>1.7668279095461826E-3</v>
      </c>
      <c r="L464" s="5">
        <v>278.3291529885413</v>
      </c>
      <c r="M464" s="5">
        <v>41.90268194487458</v>
      </c>
      <c r="N464" s="11">
        <v>317.04454733147514</v>
      </c>
      <c r="O464" s="13">
        <v>2024</v>
      </c>
    </row>
    <row r="465" spans="1:15" ht="14.5" customHeight="1" x14ac:dyDescent="0.35">
      <c r="A465" s="20" t="s">
        <v>971</v>
      </c>
      <c r="B465" s="15" t="s">
        <v>972</v>
      </c>
      <c r="C465" s="15" t="s">
        <v>3108</v>
      </c>
      <c r="D465" s="16" t="s">
        <v>94</v>
      </c>
      <c r="E465" s="15" t="s">
        <v>169</v>
      </c>
      <c r="F465" s="15" t="s">
        <v>170</v>
      </c>
      <c r="G465" s="17" t="str">
        <f t="shared" si="7"/>
        <v>Small</v>
      </c>
      <c r="H465" s="3">
        <v>3281</v>
      </c>
      <c r="I465" s="4">
        <v>48.9</v>
      </c>
      <c r="J465" s="5">
        <v>148671.61840902164</v>
      </c>
      <c r="K465" s="6">
        <v>2.4911623115757759E-3</v>
      </c>
      <c r="L465" s="5">
        <v>682.15249009448337</v>
      </c>
      <c r="M465" s="5">
        <v>1948.7037488570559</v>
      </c>
      <c r="N465" s="11">
        <v>1102.2218957634868</v>
      </c>
      <c r="O465" s="13">
        <v>2024</v>
      </c>
    </row>
    <row r="466" spans="1:15" ht="14.5" customHeight="1" x14ac:dyDescent="0.35">
      <c r="A466" s="20" t="s">
        <v>973</v>
      </c>
      <c r="B466" s="15" t="s">
        <v>974</v>
      </c>
      <c r="C466" s="15" t="s">
        <v>3108</v>
      </c>
      <c r="D466" s="16" t="s">
        <v>18</v>
      </c>
      <c r="E466" s="15" t="s">
        <v>173</v>
      </c>
      <c r="F466" s="15" t="s">
        <v>170</v>
      </c>
      <c r="G466" s="17" t="str">
        <f t="shared" si="7"/>
        <v>Small</v>
      </c>
      <c r="H466" s="3">
        <v>1389</v>
      </c>
      <c r="I466" s="4">
        <v>60.6</v>
      </c>
      <c r="J466" s="5">
        <v>83332.293736501073</v>
      </c>
      <c r="K466" s="6">
        <v>6.4049629267081305E-3</v>
      </c>
      <c r="L466" s="5">
        <v>1002.6475809935205</v>
      </c>
      <c r="M466" s="5">
        <v>0</v>
      </c>
      <c r="N466" s="11">
        <v>1328.4056011519078</v>
      </c>
      <c r="O466" s="13">
        <v>2024</v>
      </c>
    </row>
    <row r="467" spans="1:15" ht="14.5" customHeight="1" x14ac:dyDescent="0.35">
      <c r="A467" s="20" t="s">
        <v>975</v>
      </c>
      <c r="B467" s="15" t="s">
        <v>976</v>
      </c>
      <c r="C467" s="15" t="s">
        <v>3108</v>
      </c>
      <c r="D467" s="16" t="s">
        <v>193</v>
      </c>
      <c r="E467" s="15" t="s">
        <v>186</v>
      </c>
      <c r="F467" s="15" t="s">
        <v>170</v>
      </c>
      <c r="G467" s="17" t="str">
        <f t="shared" si="7"/>
        <v>Small</v>
      </c>
      <c r="H467" s="3">
        <v>2073</v>
      </c>
      <c r="I467" s="4">
        <v>37.9</v>
      </c>
      <c r="J467" s="5">
        <v>46943.684032802703</v>
      </c>
      <c r="K467" s="6" t="s">
        <v>27</v>
      </c>
      <c r="L467" s="5">
        <v>0</v>
      </c>
      <c r="M467" s="5">
        <v>0</v>
      </c>
      <c r="N467" s="11">
        <v>0</v>
      </c>
      <c r="O467" s="13">
        <v>2024</v>
      </c>
    </row>
    <row r="468" spans="1:15" ht="14.5" customHeight="1" x14ac:dyDescent="0.35">
      <c r="A468" s="20" t="s">
        <v>977</v>
      </c>
      <c r="B468" s="15" t="s">
        <v>978</v>
      </c>
      <c r="C468" s="15" t="s">
        <v>3108</v>
      </c>
      <c r="D468" s="16" t="s">
        <v>65</v>
      </c>
      <c r="E468" s="15" t="s">
        <v>186</v>
      </c>
      <c r="F468" s="15" t="s">
        <v>170</v>
      </c>
      <c r="G468" s="17" t="str">
        <f t="shared" si="7"/>
        <v>Small</v>
      </c>
      <c r="H468" s="3">
        <v>703</v>
      </c>
      <c r="I468" s="4">
        <v>37.1</v>
      </c>
      <c r="J468" s="5">
        <v>186429.1280227596</v>
      </c>
      <c r="K468" s="6">
        <v>2.8539405754830303E-3</v>
      </c>
      <c r="L468" s="5">
        <v>910.06594594594605</v>
      </c>
      <c r="M468" s="5">
        <v>0</v>
      </c>
      <c r="N468" s="11">
        <v>1357.1072830725464</v>
      </c>
      <c r="O468" s="13">
        <v>2024</v>
      </c>
    </row>
    <row r="469" spans="1:15" ht="14.5" customHeight="1" x14ac:dyDescent="0.35">
      <c r="A469" s="20" t="s">
        <v>979</v>
      </c>
      <c r="B469" s="15" t="s">
        <v>980</v>
      </c>
      <c r="C469" s="15" t="s">
        <v>3108</v>
      </c>
      <c r="D469" s="16" t="s">
        <v>248</v>
      </c>
      <c r="E469" s="15" t="s">
        <v>217</v>
      </c>
      <c r="F469" s="15" t="s">
        <v>170</v>
      </c>
      <c r="G469" s="17" t="str">
        <f t="shared" si="7"/>
        <v>Small</v>
      </c>
      <c r="H469" s="3">
        <v>3035</v>
      </c>
      <c r="I469" s="4">
        <v>90.4</v>
      </c>
      <c r="J469" s="5">
        <v>431683.77891268535</v>
      </c>
      <c r="K469" s="6">
        <v>2.2209611059423756E-3</v>
      </c>
      <c r="L469" s="5">
        <v>985.23196046128498</v>
      </c>
      <c r="M469" s="5">
        <v>112.92718286655683</v>
      </c>
      <c r="N469" s="11">
        <v>1413.8299835255355</v>
      </c>
      <c r="O469" s="13">
        <v>2024</v>
      </c>
    </row>
    <row r="470" spans="1:15" ht="14.5" customHeight="1" x14ac:dyDescent="0.35">
      <c r="A470" s="20" t="s">
        <v>981</v>
      </c>
      <c r="B470" s="15" t="s">
        <v>982</v>
      </c>
      <c r="C470" s="15" t="s">
        <v>3108</v>
      </c>
      <c r="D470" s="16" t="s">
        <v>272</v>
      </c>
      <c r="E470" s="15" t="s">
        <v>273</v>
      </c>
      <c r="F470" s="15" t="s">
        <v>208</v>
      </c>
      <c r="G470" s="17" t="str">
        <f t="shared" si="7"/>
        <v>Large</v>
      </c>
      <c r="H470" s="3">
        <v>204127</v>
      </c>
      <c r="I470" s="4">
        <v>94.1</v>
      </c>
      <c r="J470" s="5">
        <v>279720.11096523242</v>
      </c>
      <c r="K470" s="6">
        <v>2.3977364346973338E-3</v>
      </c>
      <c r="L470" s="5">
        <v>697.03914719757802</v>
      </c>
      <c r="M470" s="5">
        <v>533.2382781307715</v>
      </c>
      <c r="N470" s="11">
        <v>1236.957188417015</v>
      </c>
      <c r="O470" s="13">
        <v>2024</v>
      </c>
    </row>
    <row r="471" spans="1:15" ht="14.5" customHeight="1" x14ac:dyDescent="0.35">
      <c r="A471" s="20" t="s">
        <v>983</v>
      </c>
      <c r="B471" s="15" t="s">
        <v>984</v>
      </c>
      <c r="C471" s="15" t="s">
        <v>3108</v>
      </c>
      <c r="D471" s="16" t="s">
        <v>43</v>
      </c>
      <c r="E471" s="15" t="s">
        <v>207</v>
      </c>
      <c r="F471" s="15" t="s">
        <v>208</v>
      </c>
      <c r="G471" s="17" t="str">
        <f t="shared" si="7"/>
        <v>Small</v>
      </c>
      <c r="H471" s="3">
        <v>6178</v>
      </c>
      <c r="I471" s="4">
        <v>29.9</v>
      </c>
      <c r="J471" s="5">
        <v>215817.30608611202</v>
      </c>
      <c r="K471" s="6">
        <v>1.7694643510516243E-3</v>
      </c>
      <c r="L471" s="5">
        <v>475.35294917449022</v>
      </c>
      <c r="M471" s="5">
        <v>16.186468112657817</v>
      </c>
      <c r="N471" s="11">
        <v>785.29569925542251</v>
      </c>
      <c r="O471" s="13">
        <v>2024</v>
      </c>
    </row>
    <row r="472" spans="1:15" ht="14.5" customHeight="1" x14ac:dyDescent="0.35">
      <c r="A472" s="20" t="s">
        <v>985</v>
      </c>
      <c r="B472" s="15" t="s">
        <v>986</v>
      </c>
      <c r="C472" s="15" t="s">
        <v>3108</v>
      </c>
      <c r="D472" s="16" t="s">
        <v>234</v>
      </c>
      <c r="E472" s="15" t="s">
        <v>178</v>
      </c>
      <c r="F472" s="15" t="s">
        <v>170</v>
      </c>
      <c r="G472" s="17" t="str">
        <f t="shared" si="7"/>
        <v>Small</v>
      </c>
      <c r="H472" s="3">
        <v>1872</v>
      </c>
      <c r="I472" s="4">
        <v>39.4</v>
      </c>
      <c r="J472" s="5">
        <v>224631.48717948719</v>
      </c>
      <c r="K472" s="6">
        <v>5.9710759319993954E-3</v>
      </c>
      <c r="L472" s="5">
        <v>1518.0806623931624</v>
      </c>
      <c r="M472" s="5">
        <v>3150.1068376068374</v>
      </c>
      <c r="N472" s="11">
        <v>3889.2532051282051</v>
      </c>
      <c r="O472" s="13">
        <v>2024</v>
      </c>
    </row>
    <row r="473" spans="1:15" ht="14.5" customHeight="1" x14ac:dyDescent="0.35">
      <c r="A473" s="20" t="s">
        <v>987</v>
      </c>
      <c r="B473" s="15" t="s">
        <v>988</v>
      </c>
      <c r="C473" s="15" t="s">
        <v>3108</v>
      </c>
      <c r="D473" s="16" t="s">
        <v>9</v>
      </c>
      <c r="E473" s="15" t="s">
        <v>207</v>
      </c>
      <c r="F473" s="15" t="s">
        <v>208</v>
      </c>
      <c r="G473" s="17" t="str">
        <f t="shared" si="7"/>
        <v>Medium</v>
      </c>
      <c r="H473" s="3">
        <v>21021</v>
      </c>
      <c r="I473" s="4">
        <v>36.700000000000003</v>
      </c>
      <c r="J473" s="5">
        <v>119048.49769278341</v>
      </c>
      <c r="K473" s="6" t="s">
        <v>27</v>
      </c>
      <c r="L473" s="5">
        <v>0</v>
      </c>
      <c r="M473" s="5">
        <v>0</v>
      </c>
      <c r="N473" s="11">
        <v>0</v>
      </c>
      <c r="O473" s="13">
        <v>2024</v>
      </c>
    </row>
    <row r="474" spans="1:15" ht="14.5" customHeight="1" x14ac:dyDescent="0.35">
      <c r="A474" s="20" t="s">
        <v>989</v>
      </c>
      <c r="B474" s="15" t="s">
        <v>990</v>
      </c>
      <c r="C474" s="15" t="s">
        <v>3108</v>
      </c>
      <c r="D474" s="16" t="s">
        <v>193</v>
      </c>
      <c r="E474" s="15" t="s">
        <v>186</v>
      </c>
      <c r="F474" s="15" t="s">
        <v>170</v>
      </c>
      <c r="G474" s="17" t="str">
        <f t="shared" si="7"/>
        <v>Small</v>
      </c>
      <c r="H474" s="3">
        <v>1085</v>
      </c>
      <c r="I474" s="4">
        <v>34.5</v>
      </c>
      <c r="J474" s="5">
        <v>86922.446082949304</v>
      </c>
      <c r="K474" s="6">
        <v>7.2331441299428806E-3</v>
      </c>
      <c r="L474" s="5">
        <v>648.64408294930877</v>
      </c>
      <c r="M474" s="5">
        <v>139.35483870967741</v>
      </c>
      <c r="N474" s="11">
        <v>1232.4066451612903</v>
      </c>
      <c r="O474" s="13">
        <v>2024</v>
      </c>
    </row>
    <row r="475" spans="1:15" ht="14.5" customHeight="1" x14ac:dyDescent="0.35">
      <c r="A475" s="20" t="s">
        <v>991</v>
      </c>
      <c r="B475" s="15" t="s">
        <v>992</v>
      </c>
      <c r="C475" s="15" t="s">
        <v>3108</v>
      </c>
      <c r="D475" s="16" t="s">
        <v>240</v>
      </c>
      <c r="E475" s="15" t="s">
        <v>214</v>
      </c>
      <c r="F475" s="15" t="s">
        <v>170</v>
      </c>
      <c r="G475" s="17" t="str">
        <f t="shared" si="7"/>
        <v>Small</v>
      </c>
      <c r="H475" s="3">
        <v>1363</v>
      </c>
      <c r="I475" s="4">
        <v>251.8</v>
      </c>
      <c r="J475" s="5">
        <v>654698.05649303005</v>
      </c>
      <c r="K475" s="6">
        <v>5.4888919457991769E-3</v>
      </c>
      <c r="L475" s="5">
        <v>3599.5432061628758</v>
      </c>
      <c r="M475" s="5">
        <v>1922.7674247982393</v>
      </c>
      <c r="N475" s="11">
        <v>3723.9845047688923</v>
      </c>
      <c r="O475" s="13">
        <v>2024</v>
      </c>
    </row>
    <row r="476" spans="1:15" ht="14.5" customHeight="1" x14ac:dyDescent="0.35">
      <c r="A476" s="20" t="s">
        <v>993</v>
      </c>
      <c r="B476" s="15" t="s">
        <v>994</v>
      </c>
      <c r="C476" s="15" t="s">
        <v>3108</v>
      </c>
      <c r="D476" s="16" t="s">
        <v>240</v>
      </c>
      <c r="E476" s="15" t="s">
        <v>214</v>
      </c>
      <c r="F476" s="15" t="s">
        <v>170</v>
      </c>
      <c r="G476" s="17" t="str">
        <f t="shared" si="7"/>
        <v>Small</v>
      </c>
      <c r="H476" s="3">
        <v>355</v>
      </c>
      <c r="I476" s="4">
        <v>62.2</v>
      </c>
      <c r="J476" s="5">
        <v>1214768.109859155</v>
      </c>
      <c r="K476" s="6" t="s">
        <v>27</v>
      </c>
      <c r="L476" s="5">
        <v>0</v>
      </c>
      <c r="M476" s="5">
        <v>0</v>
      </c>
      <c r="N476" s="11">
        <v>0</v>
      </c>
      <c r="O476" s="13">
        <v>2024</v>
      </c>
    </row>
    <row r="477" spans="1:15" ht="14.5" customHeight="1" x14ac:dyDescent="0.35">
      <c r="A477" s="20" t="s">
        <v>995</v>
      </c>
      <c r="B477" s="15" t="s">
        <v>996</v>
      </c>
      <c r="C477" s="15" t="s">
        <v>3108</v>
      </c>
      <c r="D477" s="16" t="s">
        <v>5</v>
      </c>
      <c r="E477" s="15" t="s">
        <v>183</v>
      </c>
      <c r="F477" s="15" t="s">
        <v>170</v>
      </c>
      <c r="G477" s="17" t="str">
        <f t="shared" si="7"/>
        <v>Small</v>
      </c>
      <c r="H477" s="3">
        <v>2142</v>
      </c>
      <c r="I477" s="4">
        <v>34.799999999999997</v>
      </c>
      <c r="J477" s="5">
        <v>73438.36414565827</v>
      </c>
      <c r="K477" s="6">
        <v>4.1812981173589827E-3</v>
      </c>
      <c r="L477" s="5">
        <v>533.90815126050416</v>
      </c>
      <c r="M477" s="5">
        <v>0</v>
      </c>
      <c r="N477" s="11">
        <v>593.80971055088696</v>
      </c>
      <c r="O477" s="13">
        <v>2024</v>
      </c>
    </row>
    <row r="478" spans="1:15" ht="14.5" customHeight="1" x14ac:dyDescent="0.35">
      <c r="A478" s="20" t="s">
        <v>997</v>
      </c>
      <c r="B478" s="15" t="s">
        <v>998</v>
      </c>
      <c r="C478" s="15" t="s">
        <v>3108</v>
      </c>
      <c r="D478" s="16" t="s">
        <v>79</v>
      </c>
      <c r="E478" s="15" t="s">
        <v>178</v>
      </c>
      <c r="F478" s="15" t="s">
        <v>170</v>
      </c>
      <c r="G478" s="17" t="str">
        <f t="shared" si="7"/>
        <v>Medium</v>
      </c>
      <c r="H478" s="3">
        <v>51043</v>
      </c>
      <c r="I478" s="4">
        <v>15</v>
      </c>
      <c r="J478" s="5">
        <v>80834.362028093965</v>
      </c>
      <c r="K478" s="6">
        <v>5.7909224138312813E-3</v>
      </c>
      <c r="L478" s="5">
        <v>627.55151538898576</v>
      </c>
      <c r="M478" s="5">
        <v>790.18951374331448</v>
      </c>
      <c r="N478" s="11">
        <v>1068.1299688497934</v>
      </c>
      <c r="O478" s="13">
        <v>2024</v>
      </c>
    </row>
    <row r="479" spans="1:15" ht="14.5" customHeight="1" x14ac:dyDescent="0.35">
      <c r="A479" s="20" t="s">
        <v>999</v>
      </c>
      <c r="B479" s="15" t="s">
        <v>1000</v>
      </c>
      <c r="C479" s="15" t="s">
        <v>3108</v>
      </c>
      <c r="D479" s="16" t="s">
        <v>65</v>
      </c>
      <c r="E479" s="15" t="s">
        <v>186</v>
      </c>
      <c r="F479" s="15" t="s">
        <v>170</v>
      </c>
      <c r="G479" s="17" t="str">
        <f t="shared" si="7"/>
        <v>Small</v>
      </c>
      <c r="H479" s="3">
        <v>736</v>
      </c>
      <c r="I479" s="4">
        <v>32.4</v>
      </c>
      <c r="J479" s="5">
        <v>81933.334239130432</v>
      </c>
      <c r="K479" s="6">
        <v>5.5631621506177465E-3</v>
      </c>
      <c r="L479" s="5">
        <v>737.8829211956521</v>
      </c>
      <c r="M479" s="5">
        <v>135.86956521739131</v>
      </c>
      <c r="N479" s="11">
        <v>856.54095108695651</v>
      </c>
      <c r="O479" s="13">
        <v>2024</v>
      </c>
    </row>
    <row r="480" spans="1:15" ht="14.5" customHeight="1" x14ac:dyDescent="0.35">
      <c r="A480" s="20" t="s">
        <v>1001</v>
      </c>
      <c r="B480" s="15" t="s">
        <v>1002</v>
      </c>
      <c r="C480" s="15" t="s">
        <v>3108</v>
      </c>
      <c r="D480" s="16" t="s">
        <v>272</v>
      </c>
      <c r="E480" s="15" t="s">
        <v>273</v>
      </c>
      <c r="F480" s="15" t="s">
        <v>208</v>
      </c>
      <c r="G480" s="17" t="str">
        <f t="shared" si="7"/>
        <v>Large</v>
      </c>
      <c r="H480" s="3">
        <v>339938</v>
      </c>
      <c r="I480" s="4">
        <v>104.1</v>
      </c>
      <c r="J480" s="5">
        <v>178456.45451229342</v>
      </c>
      <c r="K480" s="6">
        <v>2.3300550993604805E-3</v>
      </c>
      <c r="L480" s="5">
        <v>442.45641263995196</v>
      </c>
      <c r="M480" s="5">
        <v>654.3262036018333</v>
      </c>
      <c r="N480" s="11">
        <v>1007.124222652366</v>
      </c>
      <c r="O480" s="13">
        <v>2024</v>
      </c>
    </row>
    <row r="481" spans="1:15" ht="14.5" customHeight="1" x14ac:dyDescent="0.35">
      <c r="A481" s="20" t="s">
        <v>1003</v>
      </c>
      <c r="B481" s="15" t="s">
        <v>1004</v>
      </c>
      <c r="C481" s="15" t="s">
        <v>3108</v>
      </c>
      <c r="D481" s="16" t="s">
        <v>289</v>
      </c>
      <c r="E481" s="15" t="s">
        <v>178</v>
      </c>
      <c r="F481" s="15" t="s">
        <v>170</v>
      </c>
      <c r="G481" s="17" t="str">
        <f t="shared" si="7"/>
        <v>Small</v>
      </c>
      <c r="H481" s="3">
        <v>1099</v>
      </c>
      <c r="I481" s="4">
        <v>40.1</v>
      </c>
      <c r="J481" s="5">
        <v>114625.38671519564</v>
      </c>
      <c r="K481" s="6">
        <v>9.4294743409913048E-3</v>
      </c>
      <c r="L481" s="5">
        <v>1091.8677525022747</v>
      </c>
      <c r="M481" s="5">
        <v>0</v>
      </c>
      <c r="N481" s="11">
        <v>1413.4713193812556</v>
      </c>
      <c r="O481" s="13">
        <v>2024</v>
      </c>
    </row>
    <row r="482" spans="1:15" ht="14.5" customHeight="1" x14ac:dyDescent="0.35">
      <c r="A482" s="20" t="s">
        <v>1005</v>
      </c>
      <c r="B482" s="15" t="s">
        <v>115</v>
      </c>
      <c r="C482" s="15" t="s">
        <v>3108</v>
      </c>
      <c r="D482" s="16" t="s">
        <v>39</v>
      </c>
      <c r="E482" s="15" t="s">
        <v>173</v>
      </c>
      <c r="F482" s="15" t="s">
        <v>170</v>
      </c>
      <c r="G482" s="17" t="str">
        <f t="shared" si="7"/>
        <v>Medium</v>
      </c>
      <c r="H482" s="3">
        <v>22283</v>
      </c>
      <c r="I482" s="4">
        <v>29</v>
      </c>
      <c r="J482" s="5">
        <v>89416.318314410091</v>
      </c>
      <c r="K482" s="6">
        <v>4.3576419850084695E-3</v>
      </c>
      <c r="L482" s="5">
        <v>702.20347933402138</v>
      </c>
      <c r="M482" s="5">
        <v>353.67769151370999</v>
      </c>
      <c r="N482" s="11">
        <v>1117.8593591527174</v>
      </c>
      <c r="O482" s="13">
        <v>2024</v>
      </c>
    </row>
    <row r="483" spans="1:15" ht="14.5" customHeight="1" x14ac:dyDescent="0.35">
      <c r="A483" s="20" t="s">
        <v>1006</v>
      </c>
      <c r="B483" s="15" t="s">
        <v>1007</v>
      </c>
      <c r="C483" s="15" t="s">
        <v>3108</v>
      </c>
      <c r="D483" s="16" t="s">
        <v>237</v>
      </c>
      <c r="E483" s="15" t="s">
        <v>217</v>
      </c>
      <c r="F483" s="15" t="s">
        <v>170</v>
      </c>
      <c r="G483" s="17" t="str">
        <f t="shared" si="7"/>
        <v>Small</v>
      </c>
      <c r="H483" s="3">
        <v>1723</v>
      </c>
      <c r="I483" s="4">
        <v>37.200000000000003</v>
      </c>
      <c r="J483" s="5">
        <v>144334.13116656995</v>
      </c>
      <c r="K483" s="6">
        <v>3.1822159863245029E-3</v>
      </c>
      <c r="L483" s="5">
        <v>511.46836912362159</v>
      </c>
      <c r="M483" s="5">
        <v>32.501450957632038</v>
      </c>
      <c r="N483" s="11">
        <v>575.91816598955313</v>
      </c>
      <c r="O483" s="13">
        <v>2024</v>
      </c>
    </row>
    <row r="484" spans="1:15" ht="14.5" customHeight="1" x14ac:dyDescent="0.35">
      <c r="A484" s="20" t="s">
        <v>1008</v>
      </c>
      <c r="B484" s="15" t="s">
        <v>1009</v>
      </c>
      <c r="C484" s="15" t="s">
        <v>3108</v>
      </c>
      <c r="D484" s="16" t="s">
        <v>18</v>
      </c>
      <c r="E484" s="15" t="s">
        <v>173</v>
      </c>
      <c r="F484" s="15" t="s">
        <v>170</v>
      </c>
      <c r="G484" s="17" t="str">
        <f t="shared" si="7"/>
        <v>Small</v>
      </c>
      <c r="H484" s="3">
        <v>1418</v>
      </c>
      <c r="I484" s="4">
        <v>52.6</v>
      </c>
      <c r="J484" s="5">
        <v>68686.992947813822</v>
      </c>
      <c r="K484" s="6">
        <v>6.8011246537357448E-3</v>
      </c>
      <c r="L484" s="5">
        <v>560.58011988716498</v>
      </c>
      <c r="M484" s="5">
        <v>418.88011283497883</v>
      </c>
      <c r="N484" s="11">
        <v>1183.2156276445698</v>
      </c>
      <c r="O484" s="13">
        <v>2024</v>
      </c>
    </row>
    <row r="485" spans="1:15" ht="14.5" customHeight="1" x14ac:dyDescent="0.35">
      <c r="A485" s="20" t="s">
        <v>1010</v>
      </c>
      <c r="B485" s="15" t="s">
        <v>1011</v>
      </c>
      <c r="C485" s="15" t="s">
        <v>3108</v>
      </c>
      <c r="D485" s="16" t="s">
        <v>231</v>
      </c>
      <c r="E485" s="15" t="s">
        <v>178</v>
      </c>
      <c r="F485" s="15" t="s">
        <v>170</v>
      </c>
      <c r="G485" s="17" t="str">
        <f t="shared" si="7"/>
        <v>Small</v>
      </c>
      <c r="H485" s="3">
        <v>1972</v>
      </c>
      <c r="I485" s="4">
        <v>47.1</v>
      </c>
      <c r="J485" s="5">
        <v>106580.97261663286</v>
      </c>
      <c r="K485" s="6">
        <v>4.0464477869053246E-3</v>
      </c>
      <c r="L485" s="5">
        <v>447.08215010141987</v>
      </c>
      <c r="M485" s="5">
        <v>49.442190669371193</v>
      </c>
      <c r="N485" s="11">
        <v>661.04918864097363</v>
      </c>
      <c r="O485" s="13">
        <v>2024</v>
      </c>
    </row>
    <row r="486" spans="1:15" ht="14.5" customHeight="1" x14ac:dyDescent="0.35">
      <c r="A486" s="20" t="s">
        <v>1012</v>
      </c>
      <c r="B486" s="15" t="s">
        <v>1013</v>
      </c>
      <c r="C486" s="15" t="s">
        <v>3108</v>
      </c>
      <c r="D486" s="16" t="s">
        <v>496</v>
      </c>
      <c r="E486" s="15" t="s">
        <v>169</v>
      </c>
      <c r="F486" s="15" t="s">
        <v>170</v>
      </c>
      <c r="G486" s="17" t="str">
        <f t="shared" si="7"/>
        <v>Small</v>
      </c>
      <c r="H486" s="3">
        <v>2486</v>
      </c>
      <c r="I486" s="4">
        <v>67.7</v>
      </c>
      <c r="J486" s="5">
        <v>165452.01810136766</v>
      </c>
      <c r="K486" s="6">
        <v>5.4610255072042738E-3</v>
      </c>
      <c r="L486" s="5">
        <v>979.74006033789226</v>
      </c>
      <c r="M486" s="5">
        <v>1400.0571118262269</v>
      </c>
      <c r="N486" s="11">
        <v>1936.4922405470636</v>
      </c>
      <c r="O486" s="13">
        <v>2024</v>
      </c>
    </row>
    <row r="487" spans="1:15" ht="14.5" customHeight="1" x14ac:dyDescent="0.35">
      <c r="A487" s="20" t="s">
        <v>1014</v>
      </c>
      <c r="B487" s="15" t="s">
        <v>94</v>
      </c>
      <c r="C487" s="15" t="s">
        <v>3108</v>
      </c>
      <c r="D487" s="16" t="s">
        <v>338</v>
      </c>
      <c r="E487" s="15" t="s">
        <v>214</v>
      </c>
      <c r="F487" s="15" t="s">
        <v>170</v>
      </c>
      <c r="G487" s="17" t="str">
        <f t="shared" si="7"/>
        <v>Small</v>
      </c>
      <c r="H487" s="3">
        <v>1333</v>
      </c>
      <c r="I487" s="4">
        <v>43.3</v>
      </c>
      <c r="J487" s="5">
        <v>144394.66616654163</v>
      </c>
      <c r="K487" s="6">
        <v>4.7379262751412387E-3</v>
      </c>
      <c r="L487" s="5">
        <v>770.53090022505626</v>
      </c>
      <c r="M487" s="5">
        <v>448.14403600900226</v>
      </c>
      <c r="N487" s="11">
        <v>1584.4671567891974</v>
      </c>
      <c r="O487" s="13">
        <v>2024</v>
      </c>
    </row>
    <row r="488" spans="1:15" ht="14.5" customHeight="1" x14ac:dyDescent="0.35">
      <c r="A488" s="20" t="s">
        <v>1015</v>
      </c>
      <c r="B488" s="15" t="s">
        <v>1016</v>
      </c>
      <c r="C488" s="15" t="s">
        <v>3108</v>
      </c>
      <c r="D488" s="16" t="s">
        <v>289</v>
      </c>
      <c r="E488" s="15" t="s">
        <v>178</v>
      </c>
      <c r="F488" s="15" t="s">
        <v>170</v>
      </c>
      <c r="G488" s="17" t="str">
        <f t="shared" si="7"/>
        <v>Small</v>
      </c>
      <c r="H488" s="3">
        <v>4405</v>
      </c>
      <c r="I488" s="4">
        <v>58.6</v>
      </c>
      <c r="J488" s="5">
        <v>246210.06765039728</v>
      </c>
      <c r="K488" s="6">
        <v>1.7537500999902866E-3</v>
      </c>
      <c r="L488" s="5">
        <v>599.91443359818402</v>
      </c>
      <c r="M488" s="5">
        <v>1586.2295119182747</v>
      </c>
      <c r="N488" s="11">
        <v>1659.4544199772984</v>
      </c>
      <c r="O488" s="13">
        <v>2024</v>
      </c>
    </row>
    <row r="489" spans="1:15" ht="14.5" customHeight="1" x14ac:dyDescent="0.35">
      <c r="A489" s="20" t="s">
        <v>1017</v>
      </c>
      <c r="B489" s="15" t="s">
        <v>1018</v>
      </c>
      <c r="C489" s="15" t="s">
        <v>3108</v>
      </c>
      <c r="D489" s="16" t="s">
        <v>248</v>
      </c>
      <c r="E489" s="15" t="s">
        <v>217</v>
      </c>
      <c r="F489" s="15" t="s">
        <v>170</v>
      </c>
      <c r="G489" s="17" t="str">
        <f t="shared" si="7"/>
        <v>Small</v>
      </c>
      <c r="H489" s="3">
        <v>879</v>
      </c>
      <c r="I489" s="4">
        <v>50.3</v>
      </c>
      <c r="J489" s="5">
        <v>684627.17406143341</v>
      </c>
      <c r="K489" s="6">
        <v>2.0937431370060553E-3</v>
      </c>
      <c r="L489" s="5">
        <v>1459.2252559726962</v>
      </c>
      <c r="M489" s="5">
        <v>0</v>
      </c>
      <c r="N489" s="11">
        <v>1732.6359499431171</v>
      </c>
      <c r="O489" s="13">
        <v>2024</v>
      </c>
    </row>
    <row r="490" spans="1:15" ht="14.5" customHeight="1" x14ac:dyDescent="0.35">
      <c r="A490" s="20" t="s">
        <v>1019</v>
      </c>
      <c r="B490" s="15" t="s">
        <v>1020</v>
      </c>
      <c r="C490" s="15" t="s">
        <v>3108</v>
      </c>
      <c r="D490" s="16" t="s">
        <v>32</v>
      </c>
      <c r="E490" s="15" t="s">
        <v>217</v>
      </c>
      <c r="F490" s="15" t="s">
        <v>170</v>
      </c>
      <c r="G490" s="17" t="str">
        <f t="shared" si="7"/>
        <v>Small</v>
      </c>
      <c r="H490" s="3">
        <v>2143</v>
      </c>
      <c r="I490" s="4">
        <v>204</v>
      </c>
      <c r="J490" s="5">
        <v>320741.37284181057</v>
      </c>
      <c r="K490" s="6">
        <v>3.1614211010974366E-3</v>
      </c>
      <c r="L490" s="5">
        <v>1864.2761269248715</v>
      </c>
      <c r="M490" s="5">
        <v>539.96303313112458</v>
      </c>
      <c r="N490" s="11">
        <v>3269.5811059262714</v>
      </c>
      <c r="O490" s="13">
        <v>2024</v>
      </c>
    </row>
    <row r="491" spans="1:15" ht="14.5" customHeight="1" x14ac:dyDescent="0.35">
      <c r="A491" s="20" t="s">
        <v>1021</v>
      </c>
      <c r="B491" s="15" t="s">
        <v>117</v>
      </c>
      <c r="C491" s="15" t="s">
        <v>3108</v>
      </c>
      <c r="D491" s="16" t="s">
        <v>34</v>
      </c>
      <c r="E491" s="15" t="s">
        <v>214</v>
      </c>
      <c r="F491" s="15" t="s">
        <v>170</v>
      </c>
      <c r="G491" s="17" t="str">
        <f t="shared" si="7"/>
        <v>Small</v>
      </c>
      <c r="H491" s="3">
        <v>6867</v>
      </c>
      <c r="I491" s="4">
        <v>70.2</v>
      </c>
      <c r="J491" s="5">
        <v>92204.044560943643</v>
      </c>
      <c r="K491" s="6">
        <v>2.1938335477686903E-3</v>
      </c>
      <c r="L491" s="5">
        <v>454.45274501237805</v>
      </c>
      <c r="M491" s="5">
        <v>19.601135867190912</v>
      </c>
      <c r="N491" s="11">
        <v>582.64292995485653</v>
      </c>
      <c r="O491" s="13">
        <v>2024</v>
      </c>
    </row>
    <row r="492" spans="1:15" ht="14.5" customHeight="1" x14ac:dyDescent="0.35">
      <c r="A492" s="20" t="s">
        <v>1022</v>
      </c>
      <c r="B492" s="15" t="s">
        <v>1023</v>
      </c>
      <c r="C492" s="15" t="s">
        <v>3108</v>
      </c>
      <c r="D492" s="16" t="s">
        <v>588</v>
      </c>
      <c r="E492" s="15" t="s">
        <v>178</v>
      </c>
      <c r="F492" s="15" t="s">
        <v>170</v>
      </c>
      <c r="G492" s="17" t="str">
        <f t="shared" si="7"/>
        <v>Small</v>
      </c>
      <c r="H492" s="3">
        <v>1388</v>
      </c>
      <c r="I492" s="4">
        <v>26.7</v>
      </c>
      <c r="J492" s="5">
        <v>96544.769452449575</v>
      </c>
      <c r="K492" s="6">
        <v>5.4696071330333513E-3</v>
      </c>
      <c r="L492" s="5">
        <v>637.07925072046112</v>
      </c>
      <c r="M492" s="5">
        <v>665.88256484149861</v>
      </c>
      <c r="N492" s="11">
        <v>1154.279538904899</v>
      </c>
      <c r="O492" s="13">
        <v>2024</v>
      </c>
    </row>
    <row r="493" spans="1:15" ht="14.5" customHeight="1" x14ac:dyDescent="0.35">
      <c r="A493" s="20" t="s">
        <v>1024</v>
      </c>
      <c r="B493" s="15" t="s">
        <v>1025</v>
      </c>
      <c r="C493" s="15" t="s">
        <v>3108</v>
      </c>
      <c r="D493" s="16" t="s">
        <v>496</v>
      </c>
      <c r="E493" s="15" t="s">
        <v>169</v>
      </c>
      <c r="F493" s="15" t="s">
        <v>170</v>
      </c>
      <c r="G493" s="17" t="str">
        <f t="shared" si="7"/>
        <v>Small</v>
      </c>
      <c r="H493" s="3">
        <v>1144</v>
      </c>
      <c r="I493" s="4">
        <v>155.9</v>
      </c>
      <c r="J493" s="5">
        <v>648940.64685314684</v>
      </c>
      <c r="K493" s="6">
        <v>2.7382048688549829E-3</v>
      </c>
      <c r="L493" s="5">
        <v>1954.9197727272729</v>
      </c>
      <c r="M493" s="5">
        <v>1320.1748251748252</v>
      </c>
      <c r="N493" s="11">
        <v>3136.3836538461537</v>
      </c>
      <c r="O493" s="13">
        <v>2024</v>
      </c>
    </row>
    <row r="494" spans="1:15" ht="14.5" customHeight="1" x14ac:dyDescent="0.35">
      <c r="A494" s="20" t="s">
        <v>1026</v>
      </c>
      <c r="B494" s="15" t="s">
        <v>1027</v>
      </c>
      <c r="C494" s="15" t="s">
        <v>3108</v>
      </c>
      <c r="D494" s="16" t="s">
        <v>181</v>
      </c>
      <c r="E494" s="15" t="s">
        <v>178</v>
      </c>
      <c r="F494" s="15" t="s">
        <v>170</v>
      </c>
      <c r="G494" s="17" t="str">
        <f t="shared" si="7"/>
        <v>Small</v>
      </c>
      <c r="H494" s="3">
        <v>2617</v>
      </c>
      <c r="I494" s="4">
        <v>32.9</v>
      </c>
      <c r="J494" s="5">
        <v>86044.57546809323</v>
      </c>
      <c r="K494" s="6">
        <v>4.2499587904988546E-3</v>
      </c>
      <c r="L494" s="5">
        <v>416.14966373710359</v>
      </c>
      <c r="M494" s="5">
        <v>1434.4669468857471</v>
      </c>
      <c r="N494" s="11">
        <v>793.78197172334728</v>
      </c>
      <c r="O494" s="13">
        <v>2024</v>
      </c>
    </row>
    <row r="495" spans="1:15" ht="14.5" customHeight="1" x14ac:dyDescent="0.35">
      <c r="A495" s="20" t="s">
        <v>1028</v>
      </c>
      <c r="B495" s="15" t="s">
        <v>1029</v>
      </c>
      <c r="C495" s="15" t="s">
        <v>3108</v>
      </c>
      <c r="D495" s="16" t="s">
        <v>438</v>
      </c>
      <c r="E495" s="15" t="s">
        <v>207</v>
      </c>
      <c r="F495" s="15" t="s">
        <v>208</v>
      </c>
      <c r="G495" s="17" t="str">
        <f t="shared" si="7"/>
        <v>Medium</v>
      </c>
      <c r="H495" s="3">
        <v>12900</v>
      </c>
      <c r="I495" s="4">
        <v>40.5</v>
      </c>
      <c r="J495" s="5">
        <v>174944.80868217055</v>
      </c>
      <c r="K495" s="6">
        <v>7.037328253608888E-3</v>
      </c>
      <c r="L495" s="5">
        <v>1253.5783720930231</v>
      </c>
      <c r="M495" s="5">
        <v>528.09387596899228</v>
      </c>
      <c r="N495" s="11">
        <v>1944.1288</v>
      </c>
      <c r="O495" s="13">
        <v>2024</v>
      </c>
    </row>
    <row r="496" spans="1:15" ht="14.5" customHeight="1" x14ac:dyDescent="0.35">
      <c r="A496" s="20" t="s">
        <v>1030</v>
      </c>
      <c r="B496" s="15" t="s">
        <v>1031</v>
      </c>
      <c r="C496" s="15" t="s">
        <v>3108</v>
      </c>
      <c r="D496" s="16" t="s">
        <v>22</v>
      </c>
      <c r="E496" s="15" t="s">
        <v>186</v>
      </c>
      <c r="F496" s="15" t="s">
        <v>170</v>
      </c>
      <c r="G496" s="17" t="str">
        <f t="shared" si="7"/>
        <v>Small</v>
      </c>
      <c r="H496" s="3">
        <v>1397</v>
      </c>
      <c r="I496" s="4">
        <v>18.399999999999999</v>
      </c>
      <c r="J496" s="5">
        <v>88206.90121689334</v>
      </c>
      <c r="K496" s="6">
        <v>2.8070674368856573E-3</v>
      </c>
      <c r="L496" s="5">
        <v>535.0414173228346</v>
      </c>
      <c r="M496" s="5">
        <v>0</v>
      </c>
      <c r="N496" s="11">
        <v>606.90925554760202</v>
      </c>
      <c r="O496" s="13">
        <v>2024</v>
      </c>
    </row>
    <row r="497" spans="1:15" ht="14.5" customHeight="1" x14ac:dyDescent="0.35">
      <c r="A497" s="20" t="s">
        <v>1032</v>
      </c>
      <c r="B497" s="15" t="s">
        <v>1033</v>
      </c>
      <c r="C497" s="15" t="s">
        <v>3108</v>
      </c>
      <c r="D497" s="16" t="s">
        <v>37</v>
      </c>
      <c r="E497" s="15" t="s">
        <v>217</v>
      </c>
      <c r="F497" s="15" t="s">
        <v>170</v>
      </c>
      <c r="G497" s="17" t="str">
        <f t="shared" si="7"/>
        <v>Small</v>
      </c>
      <c r="H497" s="3">
        <v>8330</v>
      </c>
      <c r="I497" s="4">
        <v>31.8</v>
      </c>
      <c r="J497" s="5">
        <v>163075.29675870348</v>
      </c>
      <c r="K497" s="6">
        <v>1.3205994233191488E-3</v>
      </c>
      <c r="L497" s="5">
        <v>420.6456182472989</v>
      </c>
      <c r="M497" s="5">
        <v>38.236854741896757</v>
      </c>
      <c r="N497" s="11">
        <v>817.24105642256905</v>
      </c>
      <c r="O497" s="13">
        <v>2024</v>
      </c>
    </row>
    <row r="498" spans="1:15" ht="14.5" customHeight="1" x14ac:dyDescent="0.35">
      <c r="A498" s="20" t="s">
        <v>1034</v>
      </c>
      <c r="B498" s="15" t="s">
        <v>1035</v>
      </c>
      <c r="C498" s="15" t="s">
        <v>3108</v>
      </c>
      <c r="D498" s="16" t="s">
        <v>237</v>
      </c>
      <c r="E498" s="15" t="s">
        <v>217</v>
      </c>
      <c r="F498" s="15" t="s">
        <v>170</v>
      </c>
      <c r="G498" s="17" t="str">
        <f t="shared" si="7"/>
        <v>Medium</v>
      </c>
      <c r="H498" s="3">
        <v>12968</v>
      </c>
      <c r="I498" s="4">
        <v>39.700000000000003</v>
      </c>
      <c r="J498" s="5">
        <v>68094.362893275757</v>
      </c>
      <c r="K498" s="6">
        <v>2.0559410370604918E-3</v>
      </c>
      <c r="L498" s="5">
        <v>160.00097933374457</v>
      </c>
      <c r="M498" s="5">
        <v>2.313386798272671</v>
      </c>
      <c r="N498" s="11">
        <v>222.75681369524983</v>
      </c>
      <c r="O498" s="13">
        <v>2024</v>
      </c>
    </row>
    <row r="499" spans="1:15" ht="14.5" customHeight="1" x14ac:dyDescent="0.35">
      <c r="A499" s="20" t="s">
        <v>1036</v>
      </c>
      <c r="B499" s="15" t="s">
        <v>118</v>
      </c>
      <c r="C499" s="15" t="s">
        <v>3108</v>
      </c>
      <c r="D499" s="16" t="s">
        <v>43</v>
      </c>
      <c r="E499" s="15" t="s">
        <v>207</v>
      </c>
      <c r="F499" s="15" t="s">
        <v>208</v>
      </c>
      <c r="G499" s="17" t="str">
        <f t="shared" si="7"/>
        <v>Small</v>
      </c>
      <c r="H499" s="3">
        <v>933</v>
      </c>
      <c r="I499" s="4">
        <v>7.7</v>
      </c>
      <c r="J499" s="5">
        <v>146617.80814576635</v>
      </c>
      <c r="K499" s="6">
        <v>5.9487004641234796E-3</v>
      </c>
      <c r="L499" s="5">
        <v>939.57663451232588</v>
      </c>
      <c r="M499" s="5">
        <v>144.69453376205789</v>
      </c>
      <c r="N499" s="11">
        <v>1326.9882100750267</v>
      </c>
      <c r="O499" s="13">
        <v>2024</v>
      </c>
    </row>
    <row r="500" spans="1:15" ht="14.5" customHeight="1" x14ac:dyDescent="0.35">
      <c r="A500" s="20" t="s">
        <v>1037</v>
      </c>
      <c r="B500" s="15" t="s">
        <v>1038</v>
      </c>
      <c r="C500" s="15" t="s">
        <v>3108</v>
      </c>
      <c r="D500" s="16" t="s">
        <v>81</v>
      </c>
      <c r="E500" s="15" t="s">
        <v>214</v>
      </c>
      <c r="F500" s="15" t="s">
        <v>170</v>
      </c>
      <c r="G500" s="17" t="str">
        <f t="shared" si="7"/>
        <v>Medium</v>
      </c>
      <c r="H500" s="3">
        <v>10075</v>
      </c>
      <c r="I500" s="4">
        <v>33.799999999999997</v>
      </c>
      <c r="J500" s="5">
        <v>75166.54302729528</v>
      </c>
      <c r="K500" s="6">
        <v>4.0443369556209599E-3</v>
      </c>
      <c r="L500" s="5">
        <v>546.78667394540946</v>
      </c>
      <c r="M500" s="5">
        <v>436.06050521091811</v>
      </c>
      <c r="N500" s="11">
        <v>737.09524565756817</v>
      </c>
      <c r="O500" s="13">
        <v>2024</v>
      </c>
    </row>
    <row r="501" spans="1:15" ht="14.5" customHeight="1" x14ac:dyDescent="0.35">
      <c r="A501" s="20" t="s">
        <v>1039</v>
      </c>
      <c r="B501" s="15" t="s">
        <v>1040</v>
      </c>
      <c r="C501" s="15" t="s">
        <v>3108</v>
      </c>
      <c r="D501" s="16" t="s">
        <v>11</v>
      </c>
      <c r="E501" s="15" t="s">
        <v>173</v>
      </c>
      <c r="F501" s="15" t="s">
        <v>170</v>
      </c>
      <c r="G501" s="17" t="str">
        <f t="shared" si="7"/>
        <v>Small</v>
      </c>
      <c r="H501" s="3">
        <v>5481</v>
      </c>
      <c r="I501" s="4">
        <v>30.8</v>
      </c>
      <c r="J501" s="5">
        <v>91581.244845831054</v>
      </c>
      <c r="K501" s="6">
        <v>2.8181229770084418E-3</v>
      </c>
      <c r="L501" s="5">
        <v>690.00565590220765</v>
      </c>
      <c r="M501" s="5">
        <v>245.3931764276592</v>
      </c>
      <c r="N501" s="11">
        <v>1271.744937055282</v>
      </c>
      <c r="O501" s="13">
        <v>2024</v>
      </c>
    </row>
    <row r="502" spans="1:15" ht="14.5" customHeight="1" x14ac:dyDescent="0.35">
      <c r="A502" s="20" t="s">
        <v>1041</v>
      </c>
      <c r="B502" s="15" t="s">
        <v>1042</v>
      </c>
      <c r="C502" s="15" t="s">
        <v>3108</v>
      </c>
      <c r="D502" s="16" t="s">
        <v>1</v>
      </c>
      <c r="E502" s="15" t="s">
        <v>217</v>
      </c>
      <c r="F502" s="15" t="s">
        <v>170</v>
      </c>
      <c r="G502" s="17" t="str">
        <f t="shared" si="7"/>
        <v>Small</v>
      </c>
      <c r="H502" s="3">
        <v>2635</v>
      </c>
      <c r="I502" s="4">
        <v>41.8</v>
      </c>
      <c r="J502" s="5">
        <v>132984.99696394688</v>
      </c>
      <c r="K502" s="6" t="s">
        <v>27</v>
      </c>
      <c r="L502" s="5">
        <v>0</v>
      </c>
      <c r="M502" s="5">
        <v>0</v>
      </c>
      <c r="N502" s="11">
        <v>0</v>
      </c>
      <c r="O502" s="13">
        <v>2024</v>
      </c>
    </row>
    <row r="503" spans="1:15" ht="14.5" customHeight="1" x14ac:dyDescent="0.35">
      <c r="A503" s="20" t="s">
        <v>1043</v>
      </c>
      <c r="B503" s="15" t="s">
        <v>1044</v>
      </c>
      <c r="C503" s="15" t="s">
        <v>3108</v>
      </c>
      <c r="D503" s="16" t="s">
        <v>220</v>
      </c>
      <c r="E503" s="15" t="s">
        <v>173</v>
      </c>
      <c r="F503" s="15" t="s">
        <v>170</v>
      </c>
      <c r="G503" s="17" t="str">
        <f t="shared" si="7"/>
        <v>Small</v>
      </c>
      <c r="H503" s="3">
        <v>1544</v>
      </c>
      <c r="I503" s="4">
        <v>62.5</v>
      </c>
      <c r="J503" s="5">
        <v>164060.55375647667</v>
      </c>
      <c r="K503" s="6">
        <v>4.4848022771511193E-3</v>
      </c>
      <c r="L503" s="5">
        <v>735.77914507772016</v>
      </c>
      <c r="M503" s="5">
        <v>43.056994818652846</v>
      </c>
      <c r="N503" s="11">
        <v>1292.3359261658031</v>
      </c>
      <c r="O503" s="13">
        <v>2024</v>
      </c>
    </row>
    <row r="504" spans="1:15" ht="14.5" customHeight="1" x14ac:dyDescent="0.35">
      <c r="A504" s="20" t="s">
        <v>1045</v>
      </c>
      <c r="B504" s="15" t="s">
        <v>1046</v>
      </c>
      <c r="C504" s="15" t="s">
        <v>3108</v>
      </c>
      <c r="D504" s="16" t="s">
        <v>9</v>
      </c>
      <c r="E504" s="15" t="s">
        <v>207</v>
      </c>
      <c r="F504" s="15" t="s">
        <v>208</v>
      </c>
      <c r="G504" s="17" t="str">
        <f t="shared" si="7"/>
        <v>Medium</v>
      </c>
      <c r="H504" s="3">
        <v>15975</v>
      </c>
      <c r="I504" s="4">
        <v>39.9</v>
      </c>
      <c r="J504" s="5">
        <v>172214.32726134584</v>
      </c>
      <c r="K504" s="6">
        <v>2.3355673044687234E-3</v>
      </c>
      <c r="L504" s="5">
        <v>630.76467981220662</v>
      </c>
      <c r="M504" s="5">
        <v>1618.7106729264476</v>
      </c>
      <c r="N504" s="11">
        <v>1198.5918710485134</v>
      </c>
      <c r="O504" s="13">
        <v>2024</v>
      </c>
    </row>
    <row r="505" spans="1:15" ht="14.5" customHeight="1" x14ac:dyDescent="0.35">
      <c r="A505" s="20" t="s">
        <v>1047</v>
      </c>
      <c r="B505" s="15" t="s">
        <v>1048</v>
      </c>
      <c r="C505" s="15" t="s">
        <v>3108</v>
      </c>
      <c r="D505" s="16" t="s">
        <v>89</v>
      </c>
      <c r="E505" s="15" t="s">
        <v>183</v>
      </c>
      <c r="F505" s="15" t="s">
        <v>170</v>
      </c>
      <c r="G505" s="17" t="str">
        <f t="shared" si="7"/>
        <v>Small</v>
      </c>
      <c r="H505" s="3">
        <v>4910</v>
      </c>
      <c r="I505" s="4">
        <v>39.200000000000003</v>
      </c>
      <c r="J505" s="5">
        <v>101963.95234215885</v>
      </c>
      <c r="K505" s="6">
        <v>6.9147455542403011E-3</v>
      </c>
      <c r="L505" s="5">
        <v>718.44969450101837</v>
      </c>
      <c r="M505" s="5">
        <v>412.42362525458248</v>
      </c>
      <c r="N505" s="11">
        <v>985.78696537678206</v>
      </c>
      <c r="O505" s="13">
        <v>2024</v>
      </c>
    </row>
    <row r="506" spans="1:15" ht="14.5" customHeight="1" x14ac:dyDescent="0.35">
      <c r="A506" s="20" t="s">
        <v>1049</v>
      </c>
      <c r="B506" s="15" t="s">
        <v>1050</v>
      </c>
      <c r="C506" s="15" t="s">
        <v>3108</v>
      </c>
      <c r="D506" s="16" t="s">
        <v>32</v>
      </c>
      <c r="E506" s="15" t="s">
        <v>217</v>
      </c>
      <c r="F506" s="15" t="s">
        <v>170</v>
      </c>
      <c r="G506" s="17" t="str">
        <f t="shared" si="7"/>
        <v>Small</v>
      </c>
      <c r="H506" s="3">
        <v>3502</v>
      </c>
      <c r="I506" s="4">
        <v>30.1</v>
      </c>
      <c r="J506" s="5">
        <v>475664.79811536265</v>
      </c>
      <c r="K506" s="6">
        <v>2.0612306960883292E-3</v>
      </c>
      <c r="L506" s="5">
        <v>1988.7247115933751</v>
      </c>
      <c r="M506" s="5">
        <v>227.59278126784696</v>
      </c>
      <c r="N506" s="11">
        <v>2664.7351170759566</v>
      </c>
      <c r="O506" s="13">
        <v>2024</v>
      </c>
    </row>
    <row r="507" spans="1:15" ht="14.5" customHeight="1" x14ac:dyDescent="0.35">
      <c r="A507" s="20" t="s">
        <v>1051</v>
      </c>
      <c r="B507" s="15" t="s">
        <v>1052</v>
      </c>
      <c r="C507" s="15" t="s">
        <v>3108</v>
      </c>
      <c r="D507" s="16" t="s">
        <v>32</v>
      </c>
      <c r="E507" s="15" t="s">
        <v>217</v>
      </c>
      <c r="F507" s="15" t="s">
        <v>170</v>
      </c>
      <c r="G507" s="17" t="str">
        <f t="shared" si="7"/>
        <v>Small</v>
      </c>
      <c r="H507" s="3">
        <v>3079</v>
      </c>
      <c r="I507" s="4">
        <v>52.5</v>
      </c>
      <c r="J507" s="5">
        <v>191209.93114647613</v>
      </c>
      <c r="K507" s="6">
        <v>2.344396772432453E-3</v>
      </c>
      <c r="L507" s="5">
        <v>940.66861318609938</v>
      </c>
      <c r="M507" s="5">
        <v>272.22322182526796</v>
      </c>
      <c r="N507" s="11">
        <v>1575.6134751542706</v>
      </c>
      <c r="O507" s="13">
        <v>2024</v>
      </c>
    </row>
    <row r="508" spans="1:15" ht="14.5" customHeight="1" x14ac:dyDescent="0.35">
      <c r="A508" s="20" t="s">
        <v>1053</v>
      </c>
      <c r="B508" s="15" t="s">
        <v>1054</v>
      </c>
      <c r="C508" s="15" t="s">
        <v>3108</v>
      </c>
      <c r="D508" s="16" t="s">
        <v>240</v>
      </c>
      <c r="E508" s="15" t="s">
        <v>214</v>
      </c>
      <c r="F508" s="15" t="s">
        <v>170</v>
      </c>
      <c r="G508" s="17" t="str">
        <f t="shared" si="7"/>
        <v>Small</v>
      </c>
      <c r="H508" s="3">
        <v>897</v>
      </c>
      <c r="I508" s="4">
        <v>188</v>
      </c>
      <c r="J508" s="5">
        <v>663007.10256410262</v>
      </c>
      <c r="K508" s="6">
        <v>3.8613988963170872E-3</v>
      </c>
      <c r="L508" s="5">
        <v>2573.1707134894091</v>
      </c>
      <c r="M508" s="5">
        <v>77.146042363433665</v>
      </c>
      <c r="N508" s="11">
        <v>4093.4637346711261</v>
      </c>
      <c r="O508" s="13">
        <v>2024</v>
      </c>
    </row>
    <row r="509" spans="1:15" ht="14.5" customHeight="1" x14ac:dyDescent="0.35">
      <c r="A509" s="20" t="s">
        <v>1055</v>
      </c>
      <c r="B509" s="15" t="s">
        <v>1056</v>
      </c>
      <c r="C509" s="15" t="s">
        <v>3108</v>
      </c>
      <c r="D509" s="16" t="s">
        <v>13</v>
      </c>
      <c r="E509" s="15" t="s">
        <v>186</v>
      </c>
      <c r="F509" s="15" t="s">
        <v>170</v>
      </c>
      <c r="G509" s="17" t="str">
        <f t="shared" si="7"/>
        <v>Medium</v>
      </c>
      <c r="H509" s="3">
        <v>45106</v>
      </c>
      <c r="I509" s="4">
        <v>37.700000000000003</v>
      </c>
      <c r="J509" s="5">
        <v>122310.0550702789</v>
      </c>
      <c r="K509" s="6">
        <v>4.4795387458318962E-3</v>
      </c>
      <c r="L509" s="5">
        <v>764.37904048241921</v>
      </c>
      <c r="M509" s="5">
        <v>760.89535760209287</v>
      </c>
      <c r="N509" s="11">
        <v>1052.8250565334988</v>
      </c>
      <c r="O509" s="13">
        <v>2024</v>
      </c>
    </row>
    <row r="510" spans="1:15" ht="14.5" customHeight="1" x14ac:dyDescent="0.35">
      <c r="A510" s="20" t="s">
        <v>1057</v>
      </c>
      <c r="B510" s="15" t="s">
        <v>1058</v>
      </c>
      <c r="C510" s="15" t="s">
        <v>3108</v>
      </c>
      <c r="D510" s="16" t="s">
        <v>39</v>
      </c>
      <c r="E510" s="15" t="s">
        <v>173</v>
      </c>
      <c r="F510" s="15" t="s">
        <v>170</v>
      </c>
      <c r="G510" s="17" t="str">
        <f t="shared" si="7"/>
        <v>Medium</v>
      </c>
      <c r="H510" s="3">
        <v>11565</v>
      </c>
      <c r="I510" s="4">
        <v>60.5</v>
      </c>
      <c r="J510" s="5">
        <v>153268.52088197146</v>
      </c>
      <c r="K510" s="6">
        <v>1.9167519217862105E-3</v>
      </c>
      <c r="L510" s="5">
        <v>531.40100216169481</v>
      </c>
      <c r="M510" s="5">
        <v>363.96402939904885</v>
      </c>
      <c r="N510" s="11">
        <v>834.7641227842629</v>
      </c>
      <c r="O510" s="13">
        <v>2024</v>
      </c>
    </row>
    <row r="511" spans="1:15" ht="14.5" customHeight="1" x14ac:dyDescent="0.35">
      <c r="A511" s="20" t="s">
        <v>1059</v>
      </c>
      <c r="B511" s="15" t="s">
        <v>1060</v>
      </c>
      <c r="C511" s="15" t="s">
        <v>3108</v>
      </c>
      <c r="D511" s="16" t="s">
        <v>20</v>
      </c>
      <c r="E511" s="15" t="s">
        <v>183</v>
      </c>
      <c r="F511" s="15" t="s">
        <v>170</v>
      </c>
      <c r="G511" s="17" t="str">
        <f t="shared" si="7"/>
        <v>Small</v>
      </c>
      <c r="H511" s="3">
        <v>795</v>
      </c>
      <c r="I511" s="4">
        <v>25</v>
      </c>
      <c r="J511" s="5">
        <v>145681.88301886793</v>
      </c>
      <c r="K511" s="6">
        <v>4.7975876135109823E-3</v>
      </c>
      <c r="L511" s="5">
        <v>771.49200000000019</v>
      </c>
      <c r="M511" s="5">
        <v>0</v>
      </c>
      <c r="N511" s="11">
        <v>638.78913207547168</v>
      </c>
      <c r="O511" s="13">
        <v>2024</v>
      </c>
    </row>
    <row r="512" spans="1:15" ht="14.5" customHeight="1" x14ac:dyDescent="0.35">
      <c r="A512" s="20" t="s">
        <v>1061</v>
      </c>
      <c r="B512" s="15" t="s">
        <v>1062</v>
      </c>
      <c r="C512" s="15" t="s">
        <v>3108</v>
      </c>
      <c r="D512" s="16" t="s">
        <v>69</v>
      </c>
      <c r="E512" s="15" t="s">
        <v>173</v>
      </c>
      <c r="F512" s="15" t="s">
        <v>170</v>
      </c>
      <c r="G512" s="17" t="str">
        <f t="shared" ref="G512:G575" si="8">IF(H512&lt;=10000,"Small",(IF(H512&lt;=100000,"Medium",IF(H512&gt;100000,"Large"))))</f>
        <v>Small</v>
      </c>
      <c r="H512" s="3">
        <v>2311</v>
      </c>
      <c r="I512" s="4">
        <v>42.1</v>
      </c>
      <c r="J512" s="5">
        <v>85674.443963652098</v>
      </c>
      <c r="K512" s="6">
        <v>5.0045445399155243E-3</v>
      </c>
      <c r="L512" s="5">
        <v>526.54534833405444</v>
      </c>
      <c r="M512" s="5">
        <v>0</v>
      </c>
      <c r="N512" s="11">
        <v>770.04645607961925</v>
      </c>
      <c r="O512" s="13">
        <v>2024</v>
      </c>
    </row>
    <row r="513" spans="1:15" ht="14.5" customHeight="1" x14ac:dyDescent="0.35">
      <c r="A513" s="20" t="s">
        <v>1063</v>
      </c>
      <c r="B513" s="15" t="s">
        <v>1064</v>
      </c>
      <c r="C513" s="15" t="s">
        <v>3108</v>
      </c>
      <c r="D513" s="16" t="s">
        <v>63</v>
      </c>
      <c r="E513" s="15" t="s">
        <v>169</v>
      </c>
      <c r="F513" s="15" t="s">
        <v>170</v>
      </c>
      <c r="G513" s="17" t="str">
        <f t="shared" si="8"/>
        <v>Small</v>
      </c>
      <c r="H513" s="3">
        <v>1715</v>
      </c>
      <c r="I513" s="4">
        <v>47.6</v>
      </c>
      <c r="J513" s="5">
        <v>51046.592419825072</v>
      </c>
      <c r="K513" s="6">
        <v>6.8284955380499236E-3</v>
      </c>
      <c r="L513" s="5">
        <v>582.79087463556846</v>
      </c>
      <c r="M513" s="5">
        <v>78.930676384839643</v>
      </c>
      <c r="N513" s="11">
        <v>919.63551020408158</v>
      </c>
      <c r="O513" s="13">
        <v>2024</v>
      </c>
    </row>
    <row r="514" spans="1:15" ht="14.5" customHeight="1" x14ac:dyDescent="0.35">
      <c r="A514" s="20" t="s">
        <v>1065</v>
      </c>
      <c r="B514" s="15" t="s">
        <v>1066</v>
      </c>
      <c r="C514" s="15" t="s">
        <v>3108</v>
      </c>
      <c r="D514" s="16" t="s">
        <v>94</v>
      </c>
      <c r="E514" s="15" t="s">
        <v>169</v>
      </c>
      <c r="F514" s="15" t="s">
        <v>170</v>
      </c>
      <c r="G514" s="17" t="str">
        <f t="shared" si="8"/>
        <v>Medium</v>
      </c>
      <c r="H514" s="3">
        <v>25574</v>
      </c>
      <c r="I514" s="4">
        <v>73.599999999999994</v>
      </c>
      <c r="J514" s="5">
        <v>26079.435794165951</v>
      </c>
      <c r="K514" s="6">
        <v>3.5098234163874662E-3</v>
      </c>
      <c r="L514" s="5">
        <v>168.75021506217251</v>
      </c>
      <c r="M514" s="5">
        <v>378.58809728630638</v>
      </c>
      <c r="N514" s="11">
        <v>289.0182607335575</v>
      </c>
      <c r="O514" s="13">
        <v>2024</v>
      </c>
    </row>
    <row r="515" spans="1:15" ht="14.5" customHeight="1" x14ac:dyDescent="0.35">
      <c r="A515" s="20" t="s">
        <v>1067</v>
      </c>
      <c r="B515" s="15" t="s">
        <v>1068</v>
      </c>
      <c r="C515" s="15" t="s">
        <v>3108</v>
      </c>
      <c r="D515" s="16" t="s">
        <v>7</v>
      </c>
      <c r="E515" s="15" t="s">
        <v>178</v>
      </c>
      <c r="F515" s="15" t="s">
        <v>170</v>
      </c>
      <c r="G515" s="17" t="str">
        <f t="shared" si="8"/>
        <v>Small</v>
      </c>
      <c r="H515" s="3">
        <v>7662</v>
      </c>
      <c r="I515" s="4">
        <v>42.1</v>
      </c>
      <c r="J515" s="5">
        <v>68494.490994518404</v>
      </c>
      <c r="K515" s="6">
        <v>1.0183157817595376E-3</v>
      </c>
      <c r="L515" s="5">
        <v>181.73479509266511</v>
      </c>
      <c r="M515" s="5">
        <v>227.19916470895328</v>
      </c>
      <c r="N515" s="11">
        <v>351.20399373531717</v>
      </c>
      <c r="O515" s="13">
        <v>2024</v>
      </c>
    </row>
    <row r="516" spans="1:15" ht="14.5" customHeight="1" x14ac:dyDescent="0.35">
      <c r="A516" s="20" t="s">
        <v>1069</v>
      </c>
      <c r="B516" s="15" t="s">
        <v>1070</v>
      </c>
      <c r="C516" s="15" t="s">
        <v>3108</v>
      </c>
      <c r="D516" s="16" t="s">
        <v>67</v>
      </c>
      <c r="E516" s="15" t="s">
        <v>183</v>
      </c>
      <c r="F516" s="15" t="s">
        <v>170</v>
      </c>
      <c r="G516" s="17" t="str">
        <f t="shared" si="8"/>
        <v>Small</v>
      </c>
      <c r="H516" s="3">
        <v>1326</v>
      </c>
      <c r="I516" s="4">
        <v>43.3</v>
      </c>
      <c r="J516" s="5">
        <v>89297.15912518854</v>
      </c>
      <c r="K516" s="6">
        <v>4.6336214368158622E-3</v>
      </c>
      <c r="L516" s="5">
        <v>716.43187782805421</v>
      </c>
      <c r="M516" s="5">
        <v>34.205678733031675</v>
      </c>
      <c r="N516" s="11">
        <v>919.69278280542983</v>
      </c>
      <c r="O516" s="13">
        <v>2024</v>
      </c>
    </row>
    <row r="517" spans="1:15" ht="14.5" customHeight="1" x14ac:dyDescent="0.35">
      <c r="A517" s="20" t="s">
        <v>1071</v>
      </c>
      <c r="B517" s="15" t="s">
        <v>1072</v>
      </c>
      <c r="C517" s="15" t="s">
        <v>3108</v>
      </c>
      <c r="D517" s="16" t="s">
        <v>5</v>
      </c>
      <c r="E517" s="15" t="s">
        <v>183</v>
      </c>
      <c r="F517" s="15" t="s">
        <v>170</v>
      </c>
      <c r="G517" s="17" t="str">
        <f t="shared" si="8"/>
        <v>Small</v>
      </c>
      <c r="H517" s="3">
        <v>1655</v>
      </c>
      <c r="I517" s="4">
        <v>36.1</v>
      </c>
      <c r="J517" s="5">
        <v>179823.41752265862</v>
      </c>
      <c r="K517" s="6">
        <v>3.0606809857468904E-4</v>
      </c>
      <c r="L517" s="5">
        <v>514.2830574018127</v>
      </c>
      <c r="M517" s="5">
        <v>0</v>
      </c>
      <c r="N517" s="11">
        <v>697.29796374622345</v>
      </c>
      <c r="O517" s="13">
        <v>2024</v>
      </c>
    </row>
    <row r="518" spans="1:15" ht="14.5" customHeight="1" x14ac:dyDescent="0.35">
      <c r="A518" s="20" t="s">
        <v>1073</v>
      </c>
      <c r="B518" s="15" t="s">
        <v>1074</v>
      </c>
      <c r="C518" s="15" t="s">
        <v>3108</v>
      </c>
      <c r="D518" s="16" t="s">
        <v>81</v>
      </c>
      <c r="E518" s="15" t="s">
        <v>214</v>
      </c>
      <c r="F518" s="15" t="s">
        <v>170</v>
      </c>
      <c r="G518" s="17" t="str">
        <f t="shared" si="8"/>
        <v>Small</v>
      </c>
      <c r="H518" s="3">
        <v>6171</v>
      </c>
      <c r="I518" s="4">
        <v>45.1</v>
      </c>
      <c r="J518" s="5">
        <v>81264.577053962086</v>
      </c>
      <c r="K518" s="6">
        <v>7.7131120342185399E-5</v>
      </c>
      <c r="L518" s="5">
        <v>331.90909090909093</v>
      </c>
      <c r="M518" s="5">
        <v>0</v>
      </c>
      <c r="N518" s="11">
        <v>524.83325230918808</v>
      </c>
      <c r="O518" s="13">
        <v>2024</v>
      </c>
    </row>
    <row r="519" spans="1:15" ht="14.5" customHeight="1" x14ac:dyDescent="0.35">
      <c r="A519" s="20" t="s">
        <v>1075</v>
      </c>
      <c r="B519" s="15" t="s">
        <v>1076</v>
      </c>
      <c r="C519" s="15" t="s">
        <v>3108</v>
      </c>
      <c r="D519" s="16" t="s">
        <v>269</v>
      </c>
      <c r="E519" s="15" t="s">
        <v>178</v>
      </c>
      <c r="F519" s="15" t="s">
        <v>170</v>
      </c>
      <c r="G519" s="17" t="str">
        <f t="shared" si="8"/>
        <v>Small</v>
      </c>
      <c r="H519" s="3">
        <v>2082</v>
      </c>
      <c r="I519" s="4">
        <v>33.9</v>
      </c>
      <c r="J519" s="5">
        <v>77328.497118155617</v>
      </c>
      <c r="K519" s="6">
        <v>5.969772369310759E-3</v>
      </c>
      <c r="L519" s="5">
        <v>483.61911623438999</v>
      </c>
      <c r="M519" s="5">
        <v>416.80451488952929</v>
      </c>
      <c r="N519" s="11">
        <v>690.82468780019212</v>
      </c>
      <c r="O519" s="13">
        <v>2024</v>
      </c>
    </row>
    <row r="520" spans="1:15" ht="14.5" customHeight="1" x14ac:dyDescent="0.35">
      <c r="A520" s="20" t="s">
        <v>1077</v>
      </c>
      <c r="B520" s="15" t="s">
        <v>1078</v>
      </c>
      <c r="C520" s="15" t="s">
        <v>3108</v>
      </c>
      <c r="D520" s="16" t="s">
        <v>67</v>
      </c>
      <c r="E520" s="15" t="s">
        <v>183</v>
      </c>
      <c r="F520" s="15" t="s">
        <v>170</v>
      </c>
      <c r="G520" s="17" t="str">
        <f t="shared" si="8"/>
        <v>Small</v>
      </c>
      <c r="H520" s="3">
        <v>8768</v>
      </c>
      <c r="I520" s="4">
        <v>36.200000000000003</v>
      </c>
      <c r="J520" s="5">
        <v>71832.968864051101</v>
      </c>
      <c r="K520" s="6">
        <v>1.9025072819836909E-3</v>
      </c>
      <c r="L520" s="5">
        <v>247.79872947080295</v>
      </c>
      <c r="M520" s="5">
        <v>494.97034671532845</v>
      </c>
      <c r="N520" s="11">
        <v>323.17752395072989</v>
      </c>
      <c r="O520" s="13">
        <v>2024</v>
      </c>
    </row>
    <row r="521" spans="1:15" ht="14.5" customHeight="1" x14ac:dyDescent="0.35">
      <c r="A521" s="20" t="s">
        <v>1079</v>
      </c>
      <c r="B521" s="15" t="s">
        <v>1080</v>
      </c>
      <c r="C521" s="15" t="s">
        <v>3108</v>
      </c>
      <c r="D521" s="16" t="s">
        <v>65</v>
      </c>
      <c r="E521" s="15" t="s">
        <v>186</v>
      </c>
      <c r="F521" s="15" t="s">
        <v>170</v>
      </c>
      <c r="G521" s="17" t="str">
        <f t="shared" si="8"/>
        <v>Small</v>
      </c>
      <c r="H521" s="3">
        <v>1244</v>
      </c>
      <c r="I521" s="4">
        <v>36.200000000000003</v>
      </c>
      <c r="J521" s="5">
        <v>60010.598874598072</v>
      </c>
      <c r="K521" s="6">
        <v>6.4042143680808792E-3</v>
      </c>
      <c r="L521" s="5">
        <v>554.73472668810291</v>
      </c>
      <c r="M521" s="5">
        <v>0</v>
      </c>
      <c r="N521" s="11">
        <v>808.12861736334401</v>
      </c>
      <c r="O521" s="13">
        <v>2024</v>
      </c>
    </row>
    <row r="522" spans="1:15" ht="14.5" customHeight="1" x14ac:dyDescent="0.35">
      <c r="A522" s="20" t="s">
        <v>1081</v>
      </c>
      <c r="B522" s="15" t="s">
        <v>597</v>
      </c>
      <c r="C522" s="15" t="s">
        <v>3108</v>
      </c>
      <c r="D522" s="16" t="s">
        <v>496</v>
      </c>
      <c r="E522" s="15" t="s">
        <v>169</v>
      </c>
      <c r="F522" s="15" t="s">
        <v>170</v>
      </c>
      <c r="G522" s="17" t="str">
        <f t="shared" si="8"/>
        <v>Small</v>
      </c>
      <c r="H522" s="3">
        <v>1293</v>
      </c>
      <c r="I522" s="4">
        <v>84.8</v>
      </c>
      <c r="J522" s="5">
        <v>120631.19644238206</v>
      </c>
      <c r="K522" s="6">
        <v>3.1942706723144449E-3</v>
      </c>
      <c r="L522" s="5">
        <v>452.3480278422274</v>
      </c>
      <c r="M522" s="5">
        <v>30.928074245939676</v>
      </c>
      <c r="N522" s="11">
        <v>1085.0827532869296</v>
      </c>
      <c r="O522" s="13">
        <v>2024</v>
      </c>
    </row>
    <row r="523" spans="1:15" ht="14.5" customHeight="1" x14ac:dyDescent="0.35">
      <c r="A523" s="20" t="s">
        <v>1082</v>
      </c>
      <c r="B523" s="15" t="s">
        <v>597</v>
      </c>
      <c r="C523" s="15" t="s">
        <v>3108</v>
      </c>
      <c r="D523" s="16" t="s">
        <v>597</v>
      </c>
      <c r="E523" s="15" t="s">
        <v>169</v>
      </c>
      <c r="F523" s="15" t="s">
        <v>170</v>
      </c>
      <c r="G523" s="17" t="str">
        <f t="shared" si="8"/>
        <v>Small</v>
      </c>
      <c r="H523" s="3">
        <v>844</v>
      </c>
      <c r="I523" s="4">
        <v>64.599999999999994</v>
      </c>
      <c r="J523" s="5">
        <v>105207.85308056872</v>
      </c>
      <c r="K523" s="6" t="s">
        <v>27</v>
      </c>
      <c r="L523" s="5">
        <v>0</v>
      </c>
      <c r="M523" s="5">
        <v>0</v>
      </c>
      <c r="N523" s="11">
        <v>0</v>
      </c>
      <c r="O523" s="13">
        <v>2024</v>
      </c>
    </row>
    <row r="524" spans="1:15" ht="14.5" customHeight="1" x14ac:dyDescent="0.35">
      <c r="A524" s="20" t="s">
        <v>1083</v>
      </c>
      <c r="B524" s="15" t="s">
        <v>1084</v>
      </c>
      <c r="C524" s="15" t="s">
        <v>3108</v>
      </c>
      <c r="D524" s="16" t="s">
        <v>55</v>
      </c>
      <c r="E524" s="15" t="s">
        <v>207</v>
      </c>
      <c r="F524" s="15" t="s">
        <v>208</v>
      </c>
      <c r="G524" s="17" t="str">
        <f t="shared" si="8"/>
        <v>Medium</v>
      </c>
      <c r="H524" s="3">
        <v>12265</v>
      </c>
      <c r="I524" s="4">
        <v>27.8</v>
      </c>
      <c r="J524" s="5">
        <v>344075.66669384425</v>
      </c>
      <c r="K524" s="6">
        <v>2.010933396514827E-3</v>
      </c>
      <c r="L524" s="5">
        <v>994.91381981247457</v>
      </c>
      <c r="M524" s="5">
        <v>886.66938442723199</v>
      </c>
      <c r="N524" s="11">
        <v>1544.3284957195272</v>
      </c>
      <c r="O524" s="13">
        <v>2024</v>
      </c>
    </row>
    <row r="525" spans="1:15" ht="14.5" customHeight="1" x14ac:dyDescent="0.35">
      <c r="A525" s="20" t="s">
        <v>1085</v>
      </c>
      <c r="B525" s="15" t="s">
        <v>1086</v>
      </c>
      <c r="C525" s="15" t="s">
        <v>3108</v>
      </c>
      <c r="D525" s="16" t="s">
        <v>48</v>
      </c>
      <c r="E525" s="15" t="s">
        <v>186</v>
      </c>
      <c r="F525" s="15" t="s">
        <v>170</v>
      </c>
      <c r="G525" s="17" t="str">
        <f t="shared" si="8"/>
        <v>Medium</v>
      </c>
      <c r="H525" s="3">
        <v>15944</v>
      </c>
      <c r="I525" s="4">
        <v>37.1</v>
      </c>
      <c r="J525" s="5">
        <v>122806.80820371299</v>
      </c>
      <c r="K525" s="6">
        <v>1.9935836076202542E-3</v>
      </c>
      <c r="L525" s="5">
        <v>576.83272704465628</v>
      </c>
      <c r="M525" s="5">
        <v>840.44154540893123</v>
      </c>
      <c r="N525" s="11">
        <v>1323.5975915704967</v>
      </c>
      <c r="O525" s="13">
        <v>2024</v>
      </c>
    </row>
    <row r="526" spans="1:15" ht="14.5" customHeight="1" x14ac:dyDescent="0.35">
      <c r="A526" s="20" t="s">
        <v>1087</v>
      </c>
      <c r="B526" s="15" t="s">
        <v>1088</v>
      </c>
      <c r="C526" s="15" t="s">
        <v>3108</v>
      </c>
      <c r="D526" s="16" t="s">
        <v>248</v>
      </c>
      <c r="E526" s="15" t="s">
        <v>217</v>
      </c>
      <c r="F526" s="15" t="s">
        <v>170</v>
      </c>
      <c r="G526" s="17" t="str">
        <f t="shared" si="8"/>
        <v>Small</v>
      </c>
      <c r="H526" s="3">
        <v>770</v>
      </c>
      <c r="I526" s="4">
        <v>79.7</v>
      </c>
      <c r="J526" s="5">
        <v>546413.93116883119</v>
      </c>
      <c r="K526" s="6">
        <v>3.2700983097284503E-3</v>
      </c>
      <c r="L526" s="5">
        <v>1801.651948051948</v>
      </c>
      <c r="M526" s="5">
        <v>237.26363636363635</v>
      </c>
      <c r="N526" s="11">
        <v>2406.4155844155844</v>
      </c>
      <c r="O526" s="13">
        <v>2024</v>
      </c>
    </row>
    <row r="527" spans="1:15" ht="14.5" customHeight="1" x14ac:dyDescent="0.35">
      <c r="A527" s="20" t="s">
        <v>1089</v>
      </c>
      <c r="B527" s="15" t="s">
        <v>1090</v>
      </c>
      <c r="C527" s="15" t="s">
        <v>3108</v>
      </c>
      <c r="D527" s="16" t="s">
        <v>597</v>
      </c>
      <c r="E527" s="15" t="s">
        <v>169</v>
      </c>
      <c r="F527" s="15" t="s">
        <v>170</v>
      </c>
      <c r="G527" s="17" t="str">
        <f t="shared" si="8"/>
        <v>Small</v>
      </c>
      <c r="H527" s="3">
        <v>1572</v>
      </c>
      <c r="I527" s="4">
        <v>33.299999999999997</v>
      </c>
      <c r="J527" s="5">
        <v>84462.125318066159</v>
      </c>
      <c r="K527" s="6">
        <v>3.9606939168821027E-3</v>
      </c>
      <c r="L527" s="5">
        <v>344.23839694656488</v>
      </c>
      <c r="M527" s="5">
        <v>0</v>
      </c>
      <c r="N527" s="11">
        <v>512.75977099236638</v>
      </c>
      <c r="O527" s="13">
        <v>2024</v>
      </c>
    </row>
    <row r="528" spans="1:15" ht="14.5" customHeight="1" x14ac:dyDescent="0.35">
      <c r="A528" s="20" t="s">
        <v>1091</v>
      </c>
      <c r="B528" s="15" t="s">
        <v>1092</v>
      </c>
      <c r="C528" s="15" t="s">
        <v>3108</v>
      </c>
      <c r="D528" s="16" t="s">
        <v>324</v>
      </c>
      <c r="E528" s="15" t="s">
        <v>207</v>
      </c>
      <c r="F528" s="15" t="s">
        <v>208</v>
      </c>
      <c r="G528" s="17" t="str">
        <f t="shared" si="8"/>
        <v>Medium</v>
      </c>
      <c r="H528" s="3">
        <v>10159</v>
      </c>
      <c r="I528" s="4">
        <v>79.599999999999994</v>
      </c>
      <c r="J528" s="5">
        <v>97550.650457722222</v>
      </c>
      <c r="K528" s="6">
        <v>5.40098574166016E-3</v>
      </c>
      <c r="L528" s="5">
        <v>545.77064671719654</v>
      </c>
      <c r="M528" s="5">
        <v>236.08622895954326</v>
      </c>
      <c r="N528" s="11">
        <v>914.00462643961021</v>
      </c>
      <c r="O528" s="13">
        <v>2024</v>
      </c>
    </row>
    <row r="529" spans="1:15" ht="14.5" customHeight="1" x14ac:dyDescent="0.35">
      <c r="A529" s="20" t="s">
        <v>1093</v>
      </c>
      <c r="B529" s="15" t="s">
        <v>1094</v>
      </c>
      <c r="C529" s="15" t="s">
        <v>3108</v>
      </c>
      <c r="D529" s="16" t="s">
        <v>269</v>
      </c>
      <c r="E529" s="15" t="s">
        <v>178</v>
      </c>
      <c r="F529" s="15" t="s">
        <v>170</v>
      </c>
      <c r="G529" s="17" t="str">
        <f t="shared" si="8"/>
        <v>Small</v>
      </c>
      <c r="H529" s="3">
        <v>4154</v>
      </c>
      <c r="I529" s="4">
        <v>31.9</v>
      </c>
      <c r="J529" s="5">
        <v>85531.464371689945</v>
      </c>
      <c r="K529" s="6">
        <v>3.4646185145756482E-3</v>
      </c>
      <c r="L529" s="5">
        <v>328.9744824265768</v>
      </c>
      <c r="M529" s="5">
        <v>0</v>
      </c>
      <c r="N529" s="11">
        <v>553.48868560423693</v>
      </c>
      <c r="O529" s="13">
        <v>2024</v>
      </c>
    </row>
    <row r="530" spans="1:15" ht="14.5" customHeight="1" x14ac:dyDescent="0.35">
      <c r="A530" s="20" t="s">
        <v>1095</v>
      </c>
      <c r="B530" s="15" t="s">
        <v>1096</v>
      </c>
      <c r="C530" s="15" t="s">
        <v>3108</v>
      </c>
      <c r="D530" s="16" t="s">
        <v>61</v>
      </c>
      <c r="E530" s="15" t="s">
        <v>173</v>
      </c>
      <c r="F530" s="15" t="s">
        <v>170</v>
      </c>
      <c r="G530" s="17" t="str">
        <f t="shared" si="8"/>
        <v>Small</v>
      </c>
      <c r="H530" s="3">
        <v>361</v>
      </c>
      <c r="I530" s="4">
        <v>26.3</v>
      </c>
      <c r="J530" s="5">
        <v>125056.35457063712</v>
      </c>
      <c r="K530" s="6">
        <v>6.5693817727914532E-3</v>
      </c>
      <c r="L530" s="5">
        <v>1228.984653739612</v>
      </c>
      <c r="M530" s="5">
        <v>0</v>
      </c>
      <c r="N530" s="11">
        <v>2538.3570637119115</v>
      </c>
      <c r="O530" s="13">
        <v>2024</v>
      </c>
    </row>
    <row r="531" spans="1:15" ht="14.5" customHeight="1" x14ac:dyDescent="0.35">
      <c r="A531" s="20" t="s">
        <v>1097</v>
      </c>
      <c r="B531" s="15" t="s">
        <v>1098</v>
      </c>
      <c r="C531" s="15" t="s">
        <v>3108</v>
      </c>
      <c r="D531" s="16" t="s">
        <v>67</v>
      </c>
      <c r="E531" s="15" t="s">
        <v>183</v>
      </c>
      <c r="F531" s="15" t="s">
        <v>170</v>
      </c>
      <c r="G531" s="17" t="str">
        <f t="shared" si="8"/>
        <v>Small</v>
      </c>
      <c r="H531" s="3">
        <v>1802</v>
      </c>
      <c r="I531" s="4">
        <v>25</v>
      </c>
      <c r="J531" s="5">
        <v>86937.442841287455</v>
      </c>
      <c r="K531" s="6">
        <v>1.9296767231661441E-3</v>
      </c>
      <c r="L531" s="5">
        <v>379.40052719200889</v>
      </c>
      <c r="M531" s="5">
        <v>296.59034406215318</v>
      </c>
      <c r="N531" s="11">
        <v>539.61997780244167</v>
      </c>
      <c r="O531" s="13">
        <v>2024</v>
      </c>
    </row>
    <row r="532" spans="1:15" ht="14.5" customHeight="1" x14ac:dyDescent="0.35">
      <c r="A532" s="20" t="s">
        <v>1099</v>
      </c>
      <c r="B532" s="15" t="s">
        <v>1100</v>
      </c>
      <c r="C532" s="15" t="s">
        <v>3108</v>
      </c>
      <c r="D532" s="16" t="s">
        <v>18</v>
      </c>
      <c r="E532" s="15" t="s">
        <v>173</v>
      </c>
      <c r="F532" s="15" t="s">
        <v>170</v>
      </c>
      <c r="G532" s="17" t="str">
        <f t="shared" si="8"/>
        <v>Small</v>
      </c>
      <c r="H532" s="3">
        <v>1813</v>
      </c>
      <c r="I532" s="4">
        <v>37.6</v>
      </c>
      <c r="J532" s="5">
        <v>88496.282956425814</v>
      </c>
      <c r="K532" s="6" t="s">
        <v>27</v>
      </c>
      <c r="L532" s="5">
        <v>0</v>
      </c>
      <c r="M532" s="5">
        <v>0</v>
      </c>
      <c r="N532" s="11">
        <v>0</v>
      </c>
      <c r="O532" s="13">
        <v>2024</v>
      </c>
    </row>
    <row r="533" spans="1:15" ht="14.5" customHeight="1" x14ac:dyDescent="0.35">
      <c r="A533" s="20" t="s">
        <v>1101</v>
      </c>
      <c r="B533" s="15" t="s">
        <v>1102</v>
      </c>
      <c r="C533" s="15" t="s">
        <v>3108</v>
      </c>
      <c r="D533" s="16" t="s">
        <v>63</v>
      </c>
      <c r="E533" s="15" t="s">
        <v>169</v>
      </c>
      <c r="F533" s="15" t="s">
        <v>170</v>
      </c>
      <c r="G533" s="17" t="str">
        <f t="shared" si="8"/>
        <v>Small</v>
      </c>
      <c r="H533" s="3">
        <v>4221</v>
      </c>
      <c r="I533" s="4">
        <v>108.3</v>
      </c>
      <c r="J533" s="5">
        <v>66176.817815683491</v>
      </c>
      <c r="K533" s="6">
        <v>3.2105626377364645E-3</v>
      </c>
      <c r="L533" s="5">
        <v>504.10518834399431</v>
      </c>
      <c r="M533" s="5">
        <v>61.107557450841036</v>
      </c>
      <c r="N533" s="11">
        <v>803.55602937692493</v>
      </c>
      <c r="O533" s="13">
        <v>2024</v>
      </c>
    </row>
    <row r="534" spans="1:15" ht="14.5" customHeight="1" x14ac:dyDescent="0.35">
      <c r="A534" s="20" t="s">
        <v>1103</v>
      </c>
      <c r="B534" s="15" t="s">
        <v>1104</v>
      </c>
      <c r="C534" s="15" t="s">
        <v>3108</v>
      </c>
      <c r="D534" s="16" t="s">
        <v>11</v>
      </c>
      <c r="E534" s="15" t="s">
        <v>173</v>
      </c>
      <c r="F534" s="15" t="s">
        <v>170</v>
      </c>
      <c r="G534" s="17" t="str">
        <f t="shared" si="8"/>
        <v>Small</v>
      </c>
      <c r="H534" s="3">
        <v>2691</v>
      </c>
      <c r="I534" s="4">
        <v>46.9</v>
      </c>
      <c r="J534" s="5">
        <v>50621.345596432555</v>
      </c>
      <c r="K534" s="6" t="s">
        <v>27</v>
      </c>
      <c r="L534" s="5">
        <v>0</v>
      </c>
      <c r="M534" s="5">
        <v>0</v>
      </c>
      <c r="N534" s="11">
        <v>0</v>
      </c>
      <c r="O534" s="13">
        <v>2024</v>
      </c>
    </row>
    <row r="535" spans="1:15" ht="14.5" customHeight="1" x14ac:dyDescent="0.35">
      <c r="A535" s="20" t="s">
        <v>1105</v>
      </c>
      <c r="B535" s="15" t="s">
        <v>1106</v>
      </c>
      <c r="C535" s="15" t="s">
        <v>3108</v>
      </c>
      <c r="D535" s="16" t="s">
        <v>46</v>
      </c>
      <c r="E535" s="15" t="s">
        <v>214</v>
      </c>
      <c r="F535" s="15" t="s">
        <v>170</v>
      </c>
      <c r="G535" s="17" t="str">
        <f t="shared" si="8"/>
        <v>Small</v>
      </c>
      <c r="H535" s="3">
        <v>1444</v>
      </c>
      <c r="I535" s="4">
        <v>30</v>
      </c>
      <c r="J535" s="5">
        <v>86368.614265927972</v>
      </c>
      <c r="K535" s="6">
        <v>2.4127964882595643E-3</v>
      </c>
      <c r="L535" s="5">
        <v>371.29224376731304</v>
      </c>
      <c r="M535" s="5">
        <v>0</v>
      </c>
      <c r="N535" s="11">
        <v>862.32756232686984</v>
      </c>
      <c r="O535" s="13">
        <v>2024</v>
      </c>
    </row>
    <row r="536" spans="1:15" ht="14.5" customHeight="1" x14ac:dyDescent="0.35">
      <c r="A536" s="20" t="s">
        <v>1107</v>
      </c>
      <c r="B536" s="15" t="s">
        <v>120</v>
      </c>
      <c r="C536" s="15" t="s">
        <v>3108</v>
      </c>
      <c r="D536" s="16" t="s">
        <v>46</v>
      </c>
      <c r="E536" s="15" t="s">
        <v>214</v>
      </c>
      <c r="F536" s="15" t="s">
        <v>170</v>
      </c>
      <c r="G536" s="17" t="str">
        <f t="shared" si="8"/>
        <v>Small</v>
      </c>
      <c r="H536" s="3">
        <v>1497</v>
      </c>
      <c r="I536" s="4">
        <v>22.3</v>
      </c>
      <c r="J536" s="5">
        <v>72425.099532398133</v>
      </c>
      <c r="K536" s="6">
        <v>3.3246100036511588E-3</v>
      </c>
      <c r="L536" s="5">
        <v>404.59884435537742</v>
      </c>
      <c r="M536" s="5">
        <v>26.720106880427522</v>
      </c>
      <c r="N536" s="11">
        <v>738.69344021376094</v>
      </c>
      <c r="O536" s="13">
        <v>2024</v>
      </c>
    </row>
    <row r="537" spans="1:15" ht="14.5" customHeight="1" x14ac:dyDescent="0.35">
      <c r="A537" s="20" t="s">
        <v>1108</v>
      </c>
      <c r="B537" s="15" t="s">
        <v>1109</v>
      </c>
      <c r="C537" s="15" t="s">
        <v>3108</v>
      </c>
      <c r="D537" s="16" t="s">
        <v>65</v>
      </c>
      <c r="E537" s="15" t="s">
        <v>186</v>
      </c>
      <c r="F537" s="15" t="s">
        <v>170</v>
      </c>
      <c r="G537" s="17" t="str">
        <f t="shared" si="8"/>
        <v>Small</v>
      </c>
      <c r="H537" s="3">
        <v>1675</v>
      </c>
      <c r="I537" s="4">
        <v>29.8</v>
      </c>
      <c r="J537" s="5">
        <v>68630.9976119403</v>
      </c>
      <c r="K537" s="6">
        <v>5.1274511779938851E-3</v>
      </c>
      <c r="L537" s="5">
        <v>457.92737910447767</v>
      </c>
      <c r="M537" s="5">
        <v>61.69731343283582</v>
      </c>
      <c r="N537" s="11">
        <v>515.41075820895526</v>
      </c>
      <c r="O537" s="13">
        <v>2024</v>
      </c>
    </row>
    <row r="538" spans="1:15" ht="14.5" customHeight="1" x14ac:dyDescent="0.35">
      <c r="A538" s="20" t="s">
        <v>1110</v>
      </c>
      <c r="B538" s="15" t="s">
        <v>269</v>
      </c>
      <c r="C538" s="15" t="s">
        <v>3108</v>
      </c>
      <c r="D538" s="16" t="s">
        <v>37</v>
      </c>
      <c r="E538" s="15" t="s">
        <v>217</v>
      </c>
      <c r="F538" s="15" t="s">
        <v>170</v>
      </c>
      <c r="G538" s="17" t="str">
        <f t="shared" si="8"/>
        <v>Small</v>
      </c>
      <c r="H538" s="3">
        <v>3628</v>
      </c>
      <c r="I538" s="4">
        <v>38.200000000000003</v>
      </c>
      <c r="J538" s="5">
        <v>166381.74338478502</v>
      </c>
      <c r="K538" s="6">
        <v>1.0274455438330807E-3</v>
      </c>
      <c r="L538" s="5">
        <v>473.14305402425578</v>
      </c>
      <c r="M538" s="5">
        <v>0</v>
      </c>
      <c r="N538" s="11">
        <v>946.82276736493941</v>
      </c>
      <c r="O538" s="13">
        <v>2024</v>
      </c>
    </row>
    <row r="539" spans="1:15" ht="14.5" customHeight="1" x14ac:dyDescent="0.35">
      <c r="A539" s="20" t="s">
        <v>1111</v>
      </c>
      <c r="B539" s="15" t="s">
        <v>1112</v>
      </c>
      <c r="C539" s="15" t="s">
        <v>3108</v>
      </c>
      <c r="D539" s="16" t="s">
        <v>269</v>
      </c>
      <c r="E539" s="15" t="s">
        <v>178</v>
      </c>
      <c r="F539" s="15" t="s">
        <v>170</v>
      </c>
      <c r="G539" s="17" t="str">
        <f t="shared" si="8"/>
        <v>Small</v>
      </c>
      <c r="H539" s="3">
        <v>7497</v>
      </c>
      <c r="I539" s="4">
        <v>38.299999999999997</v>
      </c>
      <c r="J539" s="5">
        <v>103887.95624916634</v>
      </c>
      <c r="K539" s="6">
        <v>4.2128601168612088E-3</v>
      </c>
      <c r="L539" s="5">
        <v>472.89197812458326</v>
      </c>
      <c r="M539" s="5">
        <v>73.605442176870753</v>
      </c>
      <c r="N539" s="11">
        <v>588.72680005335474</v>
      </c>
      <c r="O539" s="13">
        <v>2024</v>
      </c>
    </row>
    <row r="540" spans="1:15" ht="14.5" customHeight="1" x14ac:dyDescent="0.35">
      <c r="A540" s="20" t="s">
        <v>1113</v>
      </c>
      <c r="B540" s="15" t="s">
        <v>1114</v>
      </c>
      <c r="C540" s="15" t="s">
        <v>3108</v>
      </c>
      <c r="D540" s="16" t="s">
        <v>43</v>
      </c>
      <c r="E540" s="15" t="s">
        <v>207</v>
      </c>
      <c r="F540" s="15" t="s">
        <v>208</v>
      </c>
      <c r="G540" s="17" t="str">
        <f t="shared" si="8"/>
        <v>Medium</v>
      </c>
      <c r="H540" s="3">
        <v>11133</v>
      </c>
      <c r="I540" s="4">
        <v>31.3</v>
      </c>
      <c r="J540" s="5">
        <v>140924.33333333334</v>
      </c>
      <c r="K540" s="6">
        <v>4.8955211248578705E-3</v>
      </c>
      <c r="L540" s="5">
        <v>740.62355160334141</v>
      </c>
      <c r="M540" s="5">
        <v>955.16168148746965</v>
      </c>
      <c r="N540" s="11">
        <v>1550.4783077337645</v>
      </c>
      <c r="O540" s="13">
        <v>2024</v>
      </c>
    </row>
    <row r="541" spans="1:15" ht="14.5" customHeight="1" x14ac:dyDescent="0.35">
      <c r="A541" s="20" t="s">
        <v>1115</v>
      </c>
      <c r="B541" s="15" t="s">
        <v>1116</v>
      </c>
      <c r="C541" s="15" t="s">
        <v>3108</v>
      </c>
      <c r="D541" s="16" t="s">
        <v>5</v>
      </c>
      <c r="E541" s="15" t="s">
        <v>183</v>
      </c>
      <c r="F541" s="15" t="s">
        <v>170</v>
      </c>
      <c r="G541" s="17" t="str">
        <f t="shared" si="8"/>
        <v>Small</v>
      </c>
      <c r="H541" s="3">
        <v>1879</v>
      </c>
      <c r="I541" s="4">
        <v>24.3</v>
      </c>
      <c r="J541" s="5">
        <v>57170.379989356043</v>
      </c>
      <c r="K541" s="6">
        <v>2.8800032142049388E-3</v>
      </c>
      <c r="L541" s="5">
        <v>353.29806279936139</v>
      </c>
      <c r="M541" s="5">
        <v>0</v>
      </c>
      <c r="N541" s="11">
        <v>871.62017030335289</v>
      </c>
      <c r="O541" s="13">
        <v>2024</v>
      </c>
    </row>
    <row r="542" spans="1:15" ht="14.5" customHeight="1" x14ac:dyDescent="0.35">
      <c r="A542" s="20" t="s">
        <v>1117</v>
      </c>
      <c r="B542" s="15" t="s">
        <v>121</v>
      </c>
      <c r="C542" s="15" t="s">
        <v>3108</v>
      </c>
      <c r="D542" s="16" t="s">
        <v>48</v>
      </c>
      <c r="E542" s="15" t="s">
        <v>186</v>
      </c>
      <c r="F542" s="15" t="s">
        <v>170</v>
      </c>
      <c r="G542" s="17" t="str">
        <f t="shared" si="8"/>
        <v>Medium</v>
      </c>
      <c r="H542" s="3">
        <v>20563</v>
      </c>
      <c r="I542" s="4">
        <v>44.8</v>
      </c>
      <c r="J542" s="5">
        <v>93574.419345426257</v>
      </c>
      <c r="K542" s="6">
        <v>4.3620395161544871E-3</v>
      </c>
      <c r="L542" s="5">
        <v>761.05918397121047</v>
      </c>
      <c r="M542" s="5">
        <v>553.17803822399458</v>
      </c>
      <c r="N542" s="11">
        <v>870.07367602003603</v>
      </c>
      <c r="O542" s="13">
        <v>2024</v>
      </c>
    </row>
    <row r="543" spans="1:15" ht="14.5" customHeight="1" x14ac:dyDescent="0.35">
      <c r="A543" s="20" t="s">
        <v>1118</v>
      </c>
      <c r="B543" s="15" t="s">
        <v>1119</v>
      </c>
      <c r="C543" s="15" t="s">
        <v>3108</v>
      </c>
      <c r="D543" s="16" t="s">
        <v>588</v>
      </c>
      <c r="E543" s="15" t="s">
        <v>178</v>
      </c>
      <c r="F543" s="15" t="s">
        <v>170</v>
      </c>
      <c r="G543" s="17" t="str">
        <f t="shared" si="8"/>
        <v>Small</v>
      </c>
      <c r="H543" s="3">
        <v>1482</v>
      </c>
      <c r="I543" s="4">
        <v>34.200000000000003</v>
      </c>
      <c r="J543" s="5">
        <v>158848.75236167343</v>
      </c>
      <c r="K543" s="6">
        <v>4.6683701716429583E-3</v>
      </c>
      <c r="L543" s="5">
        <v>746.64014844804319</v>
      </c>
      <c r="M543" s="5">
        <v>337.14574898785423</v>
      </c>
      <c r="N543" s="11">
        <v>960.49041160593799</v>
      </c>
      <c r="O543" s="13">
        <v>2024</v>
      </c>
    </row>
    <row r="544" spans="1:15" ht="14.5" customHeight="1" x14ac:dyDescent="0.35">
      <c r="A544" s="20" t="s">
        <v>1120</v>
      </c>
      <c r="B544" s="15" t="s">
        <v>1121</v>
      </c>
      <c r="C544" s="15" t="s">
        <v>3108</v>
      </c>
      <c r="D544" s="16" t="s">
        <v>240</v>
      </c>
      <c r="E544" s="15" t="s">
        <v>214</v>
      </c>
      <c r="F544" s="15" t="s">
        <v>170</v>
      </c>
      <c r="G544" s="17" t="str">
        <f t="shared" si="8"/>
        <v>Small</v>
      </c>
      <c r="H544" s="3">
        <v>791</v>
      </c>
      <c r="I544" s="4">
        <v>407</v>
      </c>
      <c r="J544" s="5">
        <v>1405734.8154235145</v>
      </c>
      <c r="K544" s="6">
        <v>4.2654640020235906E-3</v>
      </c>
      <c r="L544" s="5">
        <v>6004.4161820480404</v>
      </c>
      <c r="M544" s="5">
        <v>1323.3691529709229</v>
      </c>
      <c r="N544" s="11">
        <v>7098.3677496839437</v>
      </c>
      <c r="O544" s="13">
        <v>2024</v>
      </c>
    </row>
    <row r="545" spans="1:15" ht="14.5" customHeight="1" x14ac:dyDescent="0.35">
      <c r="A545" s="20" t="s">
        <v>1122</v>
      </c>
      <c r="B545" s="15" t="s">
        <v>1123</v>
      </c>
      <c r="C545" s="15" t="s">
        <v>3108</v>
      </c>
      <c r="D545" s="16" t="s">
        <v>94</v>
      </c>
      <c r="E545" s="15" t="s">
        <v>169</v>
      </c>
      <c r="F545" s="15" t="s">
        <v>170</v>
      </c>
      <c r="G545" s="17" t="str">
        <f t="shared" si="8"/>
        <v>Small</v>
      </c>
      <c r="H545" s="3">
        <v>924</v>
      </c>
      <c r="I545" s="4">
        <v>39</v>
      </c>
      <c r="J545" s="5">
        <v>103148.5974025974</v>
      </c>
      <c r="K545" s="6">
        <v>5.0733452003804379E-3</v>
      </c>
      <c r="L545" s="5">
        <v>854.21962121212118</v>
      </c>
      <c r="M545" s="5">
        <v>0</v>
      </c>
      <c r="N545" s="11">
        <v>1533.4335281385281</v>
      </c>
      <c r="O545" s="13">
        <v>2024</v>
      </c>
    </row>
    <row r="546" spans="1:15" ht="14.5" customHeight="1" x14ac:dyDescent="0.35">
      <c r="A546" s="20" t="s">
        <v>1124</v>
      </c>
      <c r="B546" s="15" t="s">
        <v>1125</v>
      </c>
      <c r="C546" s="15" t="s">
        <v>3108</v>
      </c>
      <c r="D546" s="16" t="s">
        <v>63</v>
      </c>
      <c r="E546" s="15" t="s">
        <v>169</v>
      </c>
      <c r="F546" s="15" t="s">
        <v>170</v>
      </c>
      <c r="G546" s="17" t="str">
        <f t="shared" si="8"/>
        <v>Small</v>
      </c>
      <c r="H546" s="3">
        <v>3050</v>
      </c>
      <c r="I546" s="4">
        <v>48.5</v>
      </c>
      <c r="J546" s="5">
        <v>78323.32918032787</v>
      </c>
      <c r="K546" s="6">
        <v>1.546657241591323E-3</v>
      </c>
      <c r="L546" s="5">
        <v>383.77368196721312</v>
      </c>
      <c r="M546" s="5">
        <v>2764.3213114754099</v>
      </c>
      <c r="N546" s="11">
        <v>1481.232868852459</v>
      </c>
      <c r="O546" s="13">
        <v>2024</v>
      </c>
    </row>
    <row r="547" spans="1:15" ht="14.5" customHeight="1" x14ac:dyDescent="0.35">
      <c r="A547" s="20" t="s">
        <v>1126</v>
      </c>
      <c r="B547" s="15" t="s">
        <v>1127</v>
      </c>
      <c r="C547" s="15" t="s">
        <v>3108</v>
      </c>
      <c r="D547" s="16" t="s">
        <v>597</v>
      </c>
      <c r="E547" s="15" t="s">
        <v>169</v>
      </c>
      <c r="F547" s="15" t="s">
        <v>170</v>
      </c>
      <c r="G547" s="17" t="str">
        <f t="shared" si="8"/>
        <v>Small</v>
      </c>
      <c r="H547" s="3">
        <v>4888</v>
      </c>
      <c r="I547" s="4">
        <v>37.799999999999997</v>
      </c>
      <c r="J547" s="5">
        <v>68716.505319148942</v>
      </c>
      <c r="K547" s="6">
        <v>2.8929255633360525E-3</v>
      </c>
      <c r="L547" s="5">
        <v>248.27875818330608</v>
      </c>
      <c r="M547" s="5">
        <v>277.82692307692309</v>
      </c>
      <c r="N547" s="11">
        <v>671.66832651391155</v>
      </c>
      <c r="O547" s="13">
        <v>2024</v>
      </c>
    </row>
    <row r="548" spans="1:15" ht="14.5" customHeight="1" x14ac:dyDescent="0.35">
      <c r="A548" s="20" t="s">
        <v>1128</v>
      </c>
      <c r="B548" s="15" t="s">
        <v>1129</v>
      </c>
      <c r="C548" s="15" t="s">
        <v>3108</v>
      </c>
      <c r="D548" s="16" t="s">
        <v>324</v>
      </c>
      <c r="E548" s="15" t="s">
        <v>207</v>
      </c>
      <c r="F548" s="15" t="s">
        <v>208</v>
      </c>
      <c r="G548" s="17" t="str">
        <f t="shared" si="8"/>
        <v>Small</v>
      </c>
      <c r="H548" s="3">
        <v>2243</v>
      </c>
      <c r="I548" s="4">
        <v>46.5</v>
      </c>
      <c r="J548" s="5">
        <v>223810.09808292464</v>
      </c>
      <c r="K548" s="6">
        <v>5.354198420517044E-3</v>
      </c>
      <c r="L548" s="5">
        <v>1227.4262148907712</v>
      </c>
      <c r="M548" s="5">
        <v>0</v>
      </c>
      <c r="N548" s="11">
        <v>1469.1925991975033</v>
      </c>
      <c r="O548" s="13">
        <v>2024</v>
      </c>
    </row>
    <row r="549" spans="1:15" ht="14.5" customHeight="1" x14ac:dyDescent="0.35">
      <c r="A549" s="20" t="s">
        <v>1130</v>
      </c>
      <c r="B549" s="15" t="s">
        <v>1131</v>
      </c>
      <c r="C549" s="15" t="s">
        <v>3108</v>
      </c>
      <c r="D549" s="16" t="s">
        <v>94</v>
      </c>
      <c r="E549" s="15" t="s">
        <v>169</v>
      </c>
      <c r="F549" s="15" t="s">
        <v>170</v>
      </c>
      <c r="G549" s="17" t="str">
        <f t="shared" si="8"/>
        <v>Small</v>
      </c>
      <c r="H549" s="3">
        <v>2299</v>
      </c>
      <c r="I549" s="4">
        <v>55.8</v>
      </c>
      <c r="J549" s="5">
        <v>216729.25924314919</v>
      </c>
      <c r="K549" s="6">
        <v>1.0238096967444747E-3</v>
      </c>
      <c r="L549" s="5">
        <v>890.06611570247935</v>
      </c>
      <c r="M549" s="5">
        <v>231.75293605915616</v>
      </c>
      <c r="N549" s="11">
        <v>1270.4697694649847</v>
      </c>
      <c r="O549" s="13">
        <v>2024</v>
      </c>
    </row>
    <row r="550" spans="1:15" ht="14.5" customHeight="1" x14ac:dyDescent="0.35">
      <c r="A550" s="20" t="s">
        <v>1132</v>
      </c>
      <c r="B550" s="15" t="s">
        <v>1133</v>
      </c>
      <c r="C550" s="15" t="s">
        <v>3108</v>
      </c>
      <c r="D550" s="16" t="s">
        <v>65</v>
      </c>
      <c r="E550" s="15" t="s">
        <v>186</v>
      </c>
      <c r="F550" s="15" t="s">
        <v>170</v>
      </c>
      <c r="G550" s="17" t="str">
        <f t="shared" si="8"/>
        <v>Small</v>
      </c>
      <c r="H550" s="3">
        <v>685</v>
      </c>
      <c r="I550" s="4">
        <v>33.200000000000003</v>
      </c>
      <c r="J550" s="5">
        <v>105984.56204379562</v>
      </c>
      <c r="K550" s="6">
        <v>4.4366742574063088E-3</v>
      </c>
      <c r="L550" s="5">
        <v>841.66978102189785</v>
      </c>
      <c r="M550" s="5">
        <v>65.693430656934311</v>
      </c>
      <c r="N550" s="11">
        <v>1274.9659708029196</v>
      </c>
      <c r="O550" s="13">
        <v>2024</v>
      </c>
    </row>
    <row r="551" spans="1:15" ht="14.5" customHeight="1" x14ac:dyDescent="0.35">
      <c r="A551" s="20" t="s">
        <v>1134</v>
      </c>
      <c r="B551" s="15" t="s">
        <v>1135</v>
      </c>
      <c r="C551" s="15" t="s">
        <v>3108</v>
      </c>
      <c r="D551" s="16" t="s">
        <v>234</v>
      </c>
      <c r="E551" s="15" t="s">
        <v>178</v>
      </c>
      <c r="F551" s="15" t="s">
        <v>170</v>
      </c>
      <c r="G551" s="17" t="str">
        <f t="shared" si="8"/>
        <v>Small</v>
      </c>
      <c r="H551" s="3">
        <v>5679</v>
      </c>
      <c r="I551" s="4">
        <v>37.5</v>
      </c>
      <c r="J551" s="5">
        <v>54325.271526677228</v>
      </c>
      <c r="K551" s="6" t="s">
        <v>27</v>
      </c>
      <c r="L551" s="5">
        <v>0</v>
      </c>
      <c r="M551" s="5">
        <v>0</v>
      </c>
      <c r="N551" s="11">
        <v>0</v>
      </c>
      <c r="O551" s="13">
        <v>2024</v>
      </c>
    </row>
    <row r="552" spans="1:15" ht="14.5" customHeight="1" x14ac:dyDescent="0.35">
      <c r="A552" s="20" t="s">
        <v>1136</v>
      </c>
      <c r="B552" s="15" t="s">
        <v>1137</v>
      </c>
      <c r="C552" s="15" t="s">
        <v>3108</v>
      </c>
      <c r="D552" s="16" t="s">
        <v>597</v>
      </c>
      <c r="E552" s="15" t="s">
        <v>169</v>
      </c>
      <c r="F552" s="15" t="s">
        <v>170</v>
      </c>
      <c r="G552" s="17" t="str">
        <f t="shared" si="8"/>
        <v>Small</v>
      </c>
      <c r="H552" s="3">
        <v>1170</v>
      </c>
      <c r="I552" s="4">
        <v>68.7</v>
      </c>
      <c r="J552" s="5">
        <v>114007.97435897436</v>
      </c>
      <c r="K552" s="6">
        <v>4.6849841737716209E-3</v>
      </c>
      <c r="L552" s="5">
        <v>553.42088034188043</v>
      </c>
      <c r="M552" s="5">
        <v>53.064162393162391</v>
      </c>
      <c r="N552" s="11">
        <v>756.43533333333335</v>
      </c>
      <c r="O552" s="13">
        <v>2024</v>
      </c>
    </row>
    <row r="553" spans="1:15" ht="14.5" customHeight="1" x14ac:dyDescent="0.35">
      <c r="A553" s="20" t="s">
        <v>1138</v>
      </c>
      <c r="B553" s="15" t="s">
        <v>1139</v>
      </c>
      <c r="C553" s="15" t="s">
        <v>3108</v>
      </c>
      <c r="D553" s="16" t="s">
        <v>89</v>
      </c>
      <c r="E553" s="15" t="s">
        <v>183</v>
      </c>
      <c r="F553" s="15" t="s">
        <v>170</v>
      </c>
      <c r="G553" s="17" t="str">
        <f t="shared" si="8"/>
        <v>Medium</v>
      </c>
      <c r="H553" s="3">
        <v>23074</v>
      </c>
      <c r="I553" s="4">
        <v>61.7</v>
      </c>
      <c r="J553" s="5">
        <v>104368.20863309353</v>
      </c>
      <c r="K553" s="6">
        <v>1.6048425317322056E-3</v>
      </c>
      <c r="L553" s="5">
        <v>183.10983011181415</v>
      </c>
      <c r="M553" s="5">
        <v>111.51599202565659</v>
      </c>
      <c r="N553" s="11">
        <v>268.8772531854035</v>
      </c>
      <c r="O553" s="13">
        <v>2024</v>
      </c>
    </row>
    <row r="554" spans="1:15" ht="14.5" customHeight="1" x14ac:dyDescent="0.35">
      <c r="A554" s="20" t="s">
        <v>1140</v>
      </c>
      <c r="B554" s="15" t="s">
        <v>1141</v>
      </c>
      <c r="C554" s="15" t="s">
        <v>3108</v>
      </c>
      <c r="D554" s="16" t="s">
        <v>234</v>
      </c>
      <c r="E554" s="15" t="s">
        <v>178</v>
      </c>
      <c r="F554" s="15" t="s">
        <v>170</v>
      </c>
      <c r="G554" s="17" t="str">
        <f t="shared" si="8"/>
        <v>Small</v>
      </c>
      <c r="H554" s="3">
        <v>9270</v>
      </c>
      <c r="I554" s="4">
        <v>38.700000000000003</v>
      </c>
      <c r="J554" s="5">
        <v>93669.666666666672</v>
      </c>
      <c r="K554" s="6">
        <v>5.197784046373527E-3</v>
      </c>
      <c r="L554" s="5">
        <v>646.73526429341962</v>
      </c>
      <c r="M554" s="5">
        <v>289.38913484358142</v>
      </c>
      <c r="N554" s="11">
        <v>1245.7876450916938</v>
      </c>
      <c r="O554" s="13">
        <v>2024</v>
      </c>
    </row>
    <row r="555" spans="1:15" ht="14.5" customHeight="1" x14ac:dyDescent="0.35">
      <c r="A555" s="20" t="s">
        <v>1142</v>
      </c>
      <c r="B555" s="15" t="s">
        <v>1143</v>
      </c>
      <c r="C555" s="15" t="s">
        <v>3108</v>
      </c>
      <c r="D555" s="16" t="s">
        <v>65</v>
      </c>
      <c r="E555" s="15" t="s">
        <v>186</v>
      </c>
      <c r="F555" s="15" t="s">
        <v>170</v>
      </c>
      <c r="G555" s="17" t="str">
        <f t="shared" si="8"/>
        <v>Small</v>
      </c>
      <c r="H555" s="3">
        <v>2310</v>
      </c>
      <c r="I555" s="4">
        <v>40.4</v>
      </c>
      <c r="J555" s="5">
        <v>95746.918181818182</v>
      </c>
      <c r="K555" s="6">
        <v>3.7939048017283619E-3</v>
      </c>
      <c r="L555" s="5">
        <v>781.34670995670979</v>
      </c>
      <c r="M555" s="5">
        <v>2622.2025974025973</v>
      </c>
      <c r="N555" s="11">
        <v>1059.9348181818182</v>
      </c>
      <c r="O555" s="13">
        <v>2024</v>
      </c>
    </row>
    <row r="556" spans="1:15" ht="14.5" customHeight="1" x14ac:dyDescent="0.35">
      <c r="A556" s="20" t="s">
        <v>1144</v>
      </c>
      <c r="B556" s="15" t="s">
        <v>1145</v>
      </c>
      <c r="C556" s="15" t="s">
        <v>3108</v>
      </c>
      <c r="D556" s="16" t="s">
        <v>63</v>
      </c>
      <c r="E556" s="15" t="s">
        <v>169</v>
      </c>
      <c r="F556" s="15" t="s">
        <v>170</v>
      </c>
      <c r="G556" s="17" t="str">
        <f t="shared" si="8"/>
        <v>Small</v>
      </c>
      <c r="H556" s="3">
        <v>912</v>
      </c>
      <c r="I556" s="4">
        <v>60.7</v>
      </c>
      <c r="J556" s="5">
        <v>133606.55043859649</v>
      </c>
      <c r="K556" s="6" t="s">
        <v>27</v>
      </c>
      <c r="L556" s="5">
        <v>0</v>
      </c>
      <c r="M556" s="5">
        <v>0</v>
      </c>
      <c r="N556" s="11">
        <v>0</v>
      </c>
      <c r="O556" s="13">
        <v>2024</v>
      </c>
    </row>
    <row r="557" spans="1:15" ht="14.5" customHeight="1" x14ac:dyDescent="0.35">
      <c r="A557" s="20" t="s">
        <v>1146</v>
      </c>
      <c r="B557" s="15" t="s">
        <v>67</v>
      </c>
      <c r="C557" s="15" t="s">
        <v>3108</v>
      </c>
      <c r="D557" s="16" t="s">
        <v>67</v>
      </c>
      <c r="E557" s="15" t="s">
        <v>183</v>
      </c>
      <c r="F557" s="15" t="s">
        <v>170</v>
      </c>
      <c r="G557" s="17" t="str">
        <f t="shared" si="8"/>
        <v>Small</v>
      </c>
      <c r="H557" s="3">
        <v>2766</v>
      </c>
      <c r="I557" s="4">
        <v>40.799999999999997</v>
      </c>
      <c r="J557" s="5">
        <v>111701.44070860448</v>
      </c>
      <c r="K557" s="6">
        <v>4.8274053032696775E-3</v>
      </c>
      <c r="L557" s="5">
        <v>818.916395516992</v>
      </c>
      <c r="M557" s="5">
        <v>0</v>
      </c>
      <c r="N557" s="11">
        <v>899.13678235719442</v>
      </c>
      <c r="O557" s="13">
        <v>2024</v>
      </c>
    </row>
    <row r="558" spans="1:15" ht="14.5" customHeight="1" x14ac:dyDescent="0.35">
      <c r="A558" s="20" t="s">
        <v>1147</v>
      </c>
      <c r="B558" s="15" t="s">
        <v>1148</v>
      </c>
      <c r="C558" s="15" t="s">
        <v>3108</v>
      </c>
      <c r="D558" s="16" t="s">
        <v>63</v>
      </c>
      <c r="E558" s="15" t="s">
        <v>169</v>
      </c>
      <c r="F558" s="15" t="s">
        <v>170</v>
      </c>
      <c r="G558" s="17" t="str">
        <f t="shared" si="8"/>
        <v>Small</v>
      </c>
      <c r="H558" s="3">
        <v>1744</v>
      </c>
      <c r="I558" s="4">
        <v>53</v>
      </c>
      <c r="J558" s="5">
        <v>58194.106077981654</v>
      </c>
      <c r="K558" s="6">
        <v>8.895673123995489E-3</v>
      </c>
      <c r="L558" s="5">
        <v>791.11875000000009</v>
      </c>
      <c r="M558" s="5">
        <v>1384.8289220183487</v>
      </c>
      <c r="N558" s="11">
        <v>1178.1633715596329</v>
      </c>
      <c r="O558" s="13">
        <v>2024</v>
      </c>
    </row>
    <row r="559" spans="1:15" ht="14.5" customHeight="1" x14ac:dyDescent="0.35">
      <c r="A559" s="20" t="s">
        <v>1149</v>
      </c>
      <c r="B559" s="15" t="s">
        <v>1150</v>
      </c>
      <c r="C559" s="15" t="s">
        <v>3108</v>
      </c>
      <c r="D559" s="16" t="s">
        <v>11</v>
      </c>
      <c r="E559" s="15" t="s">
        <v>173</v>
      </c>
      <c r="F559" s="15" t="s">
        <v>170</v>
      </c>
      <c r="G559" s="17" t="str">
        <f t="shared" si="8"/>
        <v>Small</v>
      </c>
      <c r="H559" s="3">
        <v>5168</v>
      </c>
      <c r="I559" s="4">
        <v>45.6</v>
      </c>
      <c r="J559" s="5">
        <v>65180.167956656347</v>
      </c>
      <c r="K559" s="6">
        <v>2.8508648990402015E-3</v>
      </c>
      <c r="L559" s="5">
        <v>547.90193885448923</v>
      </c>
      <c r="M559" s="5">
        <v>0</v>
      </c>
      <c r="N559" s="11">
        <v>537.91267801857589</v>
      </c>
      <c r="O559" s="13">
        <v>2024</v>
      </c>
    </row>
    <row r="560" spans="1:15" ht="14.5" customHeight="1" x14ac:dyDescent="0.35">
      <c r="A560" s="20" t="s">
        <v>1151</v>
      </c>
      <c r="B560" s="15" t="s">
        <v>1152</v>
      </c>
      <c r="C560" s="15" t="s">
        <v>3108</v>
      </c>
      <c r="D560" s="16" t="s">
        <v>282</v>
      </c>
      <c r="E560" s="15" t="s">
        <v>169</v>
      </c>
      <c r="F560" s="15" t="s">
        <v>170</v>
      </c>
      <c r="G560" s="17" t="str">
        <f t="shared" si="8"/>
        <v>Medium</v>
      </c>
      <c r="H560" s="3">
        <v>12433</v>
      </c>
      <c r="I560" s="4">
        <v>101.5</v>
      </c>
      <c r="J560" s="5">
        <v>55471.473739242341</v>
      </c>
      <c r="K560" s="6">
        <v>4.4986272577898813E-3</v>
      </c>
      <c r="L560" s="5">
        <v>262.8788884420494</v>
      </c>
      <c r="M560" s="5">
        <v>116.57210488216842</v>
      </c>
      <c r="N560" s="11">
        <v>429.79026059679882</v>
      </c>
      <c r="O560" s="13">
        <v>2024</v>
      </c>
    </row>
    <row r="561" spans="1:15" ht="14.5" customHeight="1" x14ac:dyDescent="0.35">
      <c r="A561" s="20" t="s">
        <v>1153</v>
      </c>
      <c r="B561" s="15" t="s">
        <v>1154</v>
      </c>
      <c r="C561" s="15" t="s">
        <v>3108</v>
      </c>
      <c r="D561" s="16" t="s">
        <v>51</v>
      </c>
      <c r="E561" s="15" t="s">
        <v>217</v>
      </c>
      <c r="F561" s="15" t="s">
        <v>170</v>
      </c>
      <c r="G561" s="17" t="str">
        <f t="shared" si="8"/>
        <v>Medium</v>
      </c>
      <c r="H561" s="3">
        <v>17130</v>
      </c>
      <c r="I561" s="4">
        <v>27.9</v>
      </c>
      <c r="J561" s="5">
        <v>157721.0483946293</v>
      </c>
      <c r="K561" s="6">
        <v>1.1442459530530318E-3</v>
      </c>
      <c r="L561" s="5">
        <v>597.4194378283712</v>
      </c>
      <c r="M561" s="5">
        <v>978.40046701692938</v>
      </c>
      <c r="N561" s="11">
        <v>1637.1074786923525</v>
      </c>
      <c r="O561" s="13">
        <v>2024</v>
      </c>
    </row>
    <row r="562" spans="1:15" ht="14.5" customHeight="1" x14ac:dyDescent="0.35">
      <c r="A562" s="20" t="s">
        <v>1155</v>
      </c>
      <c r="B562" s="15" t="s">
        <v>1156</v>
      </c>
      <c r="C562" s="15" t="s">
        <v>3108</v>
      </c>
      <c r="D562" s="16" t="s">
        <v>324</v>
      </c>
      <c r="E562" s="15" t="s">
        <v>207</v>
      </c>
      <c r="F562" s="15" t="s">
        <v>208</v>
      </c>
      <c r="G562" s="17" t="str">
        <f t="shared" si="8"/>
        <v>Medium</v>
      </c>
      <c r="H562" s="3">
        <v>12655</v>
      </c>
      <c r="I562" s="4">
        <v>96.1</v>
      </c>
      <c r="J562" s="5">
        <v>137844.33638877913</v>
      </c>
      <c r="K562" s="6">
        <v>2.93361505492464E-3</v>
      </c>
      <c r="L562" s="5">
        <v>416.99478467009089</v>
      </c>
      <c r="M562" s="5">
        <v>0</v>
      </c>
      <c r="N562" s="11">
        <v>668.9368629000395</v>
      </c>
      <c r="O562" s="13">
        <v>2024</v>
      </c>
    </row>
    <row r="563" spans="1:15" ht="14.5" customHeight="1" x14ac:dyDescent="0.35">
      <c r="A563" s="20" t="s">
        <v>1157</v>
      </c>
      <c r="B563" s="15" t="s">
        <v>1158</v>
      </c>
      <c r="C563" s="15" t="s">
        <v>3108</v>
      </c>
      <c r="D563" s="16" t="s">
        <v>55</v>
      </c>
      <c r="E563" s="15" t="s">
        <v>207</v>
      </c>
      <c r="F563" s="15" t="s">
        <v>208</v>
      </c>
      <c r="G563" s="17" t="str">
        <f t="shared" si="8"/>
        <v>Medium</v>
      </c>
      <c r="H563" s="3">
        <v>31758</v>
      </c>
      <c r="I563" s="4">
        <v>6.7</v>
      </c>
      <c r="J563" s="5">
        <v>367152.85739026387</v>
      </c>
      <c r="K563" s="6">
        <v>2.7403599627908496E-3</v>
      </c>
      <c r="L563" s="5">
        <v>1156.0849549719755</v>
      </c>
      <c r="M563" s="5">
        <v>1906.1811197178663</v>
      </c>
      <c r="N563" s="11">
        <v>1928.76336671075</v>
      </c>
      <c r="O563" s="13">
        <v>2024</v>
      </c>
    </row>
    <row r="564" spans="1:15" ht="14.5" customHeight="1" x14ac:dyDescent="0.35">
      <c r="A564" s="20" t="s">
        <v>1159</v>
      </c>
      <c r="B564" s="15" t="s">
        <v>1160</v>
      </c>
      <c r="C564" s="15" t="s">
        <v>3108</v>
      </c>
      <c r="D564" s="16" t="s">
        <v>15</v>
      </c>
      <c r="E564" s="15" t="s">
        <v>178</v>
      </c>
      <c r="F564" s="15" t="s">
        <v>170</v>
      </c>
      <c r="G564" s="17" t="str">
        <f t="shared" si="8"/>
        <v>Small</v>
      </c>
      <c r="H564" s="3">
        <v>9404</v>
      </c>
      <c r="I564" s="4">
        <v>37.799999999999997</v>
      </c>
      <c r="J564" s="5">
        <v>54973.743194385366</v>
      </c>
      <c r="K564" s="6">
        <v>2.3646520968467993E-3</v>
      </c>
      <c r="L564" s="5">
        <v>296.64011165461505</v>
      </c>
      <c r="M564" s="5">
        <v>263.89834113143343</v>
      </c>
      <c r="N564" s="11">
        <v>403.22256699276903</v>
      </c>
      <c r="O564" s="13">
        <v>2024</v>
      </c>
    </row>
    <row r="565" spans="1:15" ht="14.5" customHeight="1" x14ac:dyDescent="0.35">
      <c r="A565" s="20" t="s">
        <v>1161</v>
      </c>
      <c r="B565" s="15" t="s">
        <v>1162</v>
      </c>
      <c r="C565" s="15" t="s">
        <v>3108</v>
      </c>
      <c r="D565" s="16" t="s">
        <v>46</v>
      </c>
      <c r="E565" s="15" t="s">
        <v>214</v>
      </c>
      <c r="F565" s="15" t="s">
        <v>170</v>
      </c>
      <c r="G565" s="17" t="str">
        <f t="shared" si="8"/>
        <v>Small</v>
      </c>
      <c r="H565" s="3">
        <v>3082</v>
      </c>
      <c r="I565" s="4">
        <v>29.1</v>
      </c>
      <c r="J565" s="5">
        <v>72563.365022712518</v>
      </c>
      <c r="K565" s="6">
        <v>1.6633854675139911E-3</v>
      </c>
      <c r="L565" s="5">
        <v>209.25619727449708</v>
      </c>
      <c r="M565" s="5">
        <v>34.068786502271251</v>
      </c>
      <c r="N565" s="11">
        <v>307.4728033744322</v>
      </c>
      <c r="O565" s="13">
        <v>2024</v>
      </c>
    </row>
    <row r="566" spans="1:15" ht="14.5" customHeight="1" x14ac:dyDescent="0.35">
      <c r="A566" s="20" t="s">
        <v>1163</v>
      </c>
      <c r="B566" s="15" t="s">
        <v>1164</v>
      </c>
      <c r="C566" s="15" t="s">
        <v>3108</v>
      </c>
      <c r="D566" s="16" t="s">
        <v>89</v>
      </c>
      <c r="E566" s="15" t="s">
        <v>183</v>
      </c>
      <c r="F566" s="15" t="s">
        <v>170</v>
      </c>
      <c r="G566" s="17" t="str">
        <f t="shared" si="8"/>
        <v>Medium</v>
      </c>
      <c r="H566" s="3">
        <v>33712</v>
      </c>
      <c r="I566" s="4">
        <v>49.2</v>
      </c>
      <c r="J566" s="5">
        <v>105769.14315377314</v>
      </c>
      <c r="K566" s="6">
        <v>5.4440496557064911E-3</v>
      </c>
      <c r="L566" s="5">
        <v>671.2611924537257</v>
      </c>
      <c r="M566" s="5">
        <v>1.1865211200759374</v>
      </c>
      <c r="N566" s="11">
        <v>796.03338989084011</v>
      </c>
      <c r="O566" s="13">
        <v>2024</v>
      </c>
    </row>
    <row r="567" spans="1:15" ht="14.5" customHeight="1" x14ac:dyDescent="0.35">
      <c r="A567" s="20" t="s">
        <v>1165</v>
      </c>
      <c r="B567" s="15" t="s">
        <v>1166</v>
      </c>
      <c r="C567" s="15" t="s">
        <v>3108</v>
      </c>
      <c r="D567" s="16" t="s">
        <v>65</v>
      </c>
      <c r="E567" s="15" t="s">
        <v>186</v>
      </c>
      <c r="F567" s="15" t="s">
        <v>170</v>
      </c>
      <c r="G567" s="17" t="str">
        <f t="shared" si="8"/>
        <v>Small</v>
      </c>
      <c r="H567" s="3">
        <v>843</v>
      </c>
      <c r="I567" s="4">
        <v>40.1</v>
      </c>
      <c r="J567" s="5">
        <v>236319.21352313168</v>
      </c>
      <c r="K567" s="6" t="s">
        <v>27</v>
      </c>
      <c r="L567" s="5">
        <v>0</v>
      </c>
      <c r="M567" s="5">
        <v>0</v>
      </c>
      <c r="N567" s="11">
        <v>0</v>
      </c>
      <c r="O567" s="13">
        <v>2024</v>
      </c>
    </row>
    <row r="568" spans="1:15" ht="14.5" customHeight="1" x14ac:dyDescent="0.35">
      <c r="A568" s="20" t="s">
        <v>1167</v>
      </c>
      <c r="B568" s="15" t="s">
        <v>1168</v>
      </c>
      <c r="C568" s="15" t="s">
        <v>3108</v>
      </c>
      <c r="D568" s="16" t="s">
        <v>20</v>
      </c>
      <c r="E568" s="15" t="s">
        <v>183</v>
      </c>
      <c r="F568" s="15" t="s">
        <v>170</v>
      </c>
      <c r="G568" s="17" t="str">
        <f t="shared" si="8"/>
        <v>Small</v>
      </c>
      <c r="H568" s="3">
        <v>2038</v>
      </c>
      <c r="I568" s="4">
        <v>24.9</v>
      </c>
      <c r="J568" s="5">
        <v>63868.189892051028</v>
      </c>
      <c r="K568" s="6" t="s">
        <v>27</v>
      </c>
      <c r="L568" s="5">
        <v>0</v>
      </c>
      <c r="M568" s="5">
        <v>0</v>
      </c>
      <c r="N568" s="11">
        <v>0</v>
      </c>
      <c r="O568" s="13">
        <v>2024</v>
      </c>
    </row>
    <row r="569" spans="1:15" ht="14.5" customHeight="1" x14ac:dyDescent="0.35">
      <c r="A569" s="20" t="s">
        <v>1169</v>
      </c>
      <c r="B569" s="15" t="s">
        <v>1170</v>
      </c>
      <c r="C569" s="15" t="s">
        <v>3108</v>
      </c>
      <c r="D569" s="16" t="s">
        <v>43</v>
      </c>
      <c r="E569" s="15" t="s">
        <v>207</v>
      </c>
      <c r="F569" s="15" t="s">
        <v>208</v>
      </c>
      <c r="G569" s="17" t="str">
        <f t="shared" si="8"/>
        <v>Small</v>
      </c>
      <c r="H569" s="3">
        <v>5658</v>
      </c>
      <c r="I569" s="4">
        <v>54.5</v>
      </c>
      <c r="J569" s="5">
        <v>306675.61647225166</v>
      </c>
      <c r="K569" s="6">
        <v>1.3348883096994868E-3</v>
      </c>
      <c r="L569" s="5">
        <v>514.33557440791799</v>
      </c>
      <c r="M569" s="5">
        <v>265.11134676564154</v>
      </c>
      <c r="N569" s="11">
        <v>976.43147401908811</v>
      </c>
      <c r="O569" s="13">
        <v>2024</v>
      </c>
    </row>
    <row r="570" spans="1:15" ht="14.5" customHeight="1" x14ac:dyDescent="0.35">
      <c r="A570" s="20" t="s">
        <v>1171</v>
      </c>
      <c r="B570" s="15" t="s">
        <v>1172</v>
      </c>
      <c r="C570" s="15" t="s">
        <v>3108</v>
      </c>
      <c r="D570" s="16" t="s">
        <v>89</v>
      </c>
      <c r="E570" s="15" t="s">
        <v>183</v>
      </c>
      <c r="F570" s="15" t="s">
        <v>170</v>
      </c>
      <c r="G570" s="17" t="str">
        <f t="shared" si="8"/>
        <v>Small</v>
      </c>
      <c r="H570" s="3">
        <v>6066</v>
      </c>
      <c r="I570" s="4">
        <v>32.5</v>
      </c>
      <c r="J570" s="5">
        <v>102607.9695021431</v>
      </c>
      <c r="K570" s="6">
        <v>5.3723792715941292E-3</v>
      </c>
      <c r="L570" s="5">
        <v>560.55967688757005</v>
      </c>
      <c r="M570" s="5">
        <v>813.22799208704248</v>
      </c>
      <c r="N570" s="11">
        <v>634.75560501153973</v>
      </c>
      <c r="O570" s="13">
        <v>2024</v>
      </c>
    </row>
    <row r="571" spans="1:15" ht="14.5" customHeight="1" x14ac:dyDescent="0.35">
      <c r="A571" s="20" t="s">
        <v>1173</v>
      </c>
      <c r="B571" s="15" t="s">
        <v>1174</v>
      </c>
      <c r="C571" s="15" t="s">
        <v>3108</v>
      </c>
      <c r="D571" s="16" t="s">
        <v>81</v>
      </c>
      <c r="E571" s="15" t="s">
        <v>214</v>
      </c>
      <c r="F571" s="15" t="s">
        <v>170</v>
      </c>
      <c r="G571" s="17" t="str">
        <f t="shared" si="8"/>
        <v>Small</v>
      </c>
      <c r="H571" s="3">
        <v>8777</v>
      </c>
      <c r="I571" s="4">
        <v>32.9</v>
      </c>
      <c r="J571" s="5">
        <v>83247.808020963887</v>
      </c>
      <c r="K571" s="6">
        <v>1.4567531320407894E-3</v>
      </c>
      <c r="L571" s="5">
        <v>462.34731343283579</v>
      </c>
      <c r="M571" s="5">
        <v>192.54870684744219</v>
      </c>
      <c r="N571" s="11">
        <v>668.77292013216356</v>
      </c>
      <c r="O571" s="13">
        <v>2024</v>
      </c>
    </row>
    <row r="572" spans="1:15" ht="14.5" customHeight="1" x14ac:dyDescent="0.35">
      <c r="A572" s="20" t="s">
        <v>1175</v>
      </c>
      <c r="B572" s="15" t="s">
        <v>1176</v>
      </c>
      <c r="C572" s="15" t="s">
        <v>3108</v>
      </c>
      <c r="D572" s="16" t="s">
        <v>13</v>
      </c>
      <c r="E572" s="15" t="s">
        <v>186</v>
      </c>
      <c r="F572" s="15" t="s">
        <v>170</v>
      </c>
      <c r="G572" s="17" t="str">
        <f t="shared" si="8"/>
        <v>Small</v>
      </c>
      <c r="H572" s="3">
        <v>5189</v>
      </c>
      <c r="I572" s="4">
        <v>27.5</v>
      </c>
      <c r="J572" s="5">
        <v>146720.30988629794</v>
      </c>
      <c r="K572" s="6">
        <v>1.6848320124040338E-3</v>
      </c>
      <c r="L572" s="5">
        <v>454.67373289651186</v>
      </c>
      <c r="M572" s="5">
        <v>245.71208325303527</v>
      </c>
      <c r="N572" s="11">
        <v>618.31817305839274</v>
      </c>
      <c r="O572" s="13">
        <v>2024</v>
      </c>
    </row>
    <row r="573" spans="1:15" ht="14.5" customHeight="1" x14ac:dyDescent="0.35">
      <c r="A573" s="20" t="s">
        <v>1177</v>
      </c>
      <c r="B573" s="15" t="s">
        <v>1178</v>
      </c>
      <c r="C573" s="15" t="s">
        <v>3108</v>
      </c>
      <c r="D573" s="16" t="s">
        <v>234</v>
      </c>
      <c r="E573" s="15" t="s">
        <v>178</v>
      </c>
      <c r="F573" s="15" t="s">
        <v>170</v>
      </c>
      <c r="G573" s="17" t="str">
        <f t="shared" si="8"/>
        <v>Small</v>
      </c>
      <c r="H573" s="3">
        <v>4566</v>
      </c>
      <c r="I573" s="4">
        <v>29.2</v>
      </c>
      <c r="J573" s="5">
        <v>72969.527814279456</v>
      </c>
      <c r="K573" s="6">
        <v>5.6224738793754937E-3</v>
      </c>
      <c r="L573" s="5">
        <v>565.45892904073582</v>
      </c>
      <c r="M573" s="5">
        <v>1152.4310118265439</v>
      </c>
      <c r="N573" s="11">
        <v>709.40562855891369</v>
      </c>
      <c r="O573" s="13">
        <v>2024</v>
      </c>
    </row>
    <row r="574" spans="1:15" ht="14.5" customHeight="1" x14ac:dyDescent="0.35">
      <c r="A574" s="20" t="s">
        <v>1179</v>
      </c>
      <c r="B574" s="15" t="s">
        <v>1180</v>
      </c>
      <c r="C574" s="15" t="s">
        <v>3108</v>
      </c>
      <c r="D574" s="16" t="s">
        <v>43</v>
      </c>
      <c r="E574" s="15" t="s">
        <v>207</v>
      </c>
      <c r="F574" s="15" t="s">
        <v>208</v>
      </c>
      <c r="G574" s="17" t="str">
        <f t="shared" si="8"/>
        <v>Small</v>
      </c>
      <c r="H574" s="3">
        <v>8712</v>
      </c>
      <c r="I574" s="4">
        <v>24.5</v>
      </c>
      <c r="J574" s="5">
        <v>148518.8729338843</v>
      </c>
      <c r="K574" s="6">
        <v>5.4067442234620733E-3</v>
      </c>
      <c r="L574" s="5">
        <v>866.93379706152427</v>
      </c>
      <c r="M574" s="5">
        <v>386.9990059687787</v>
      </c>
      <c r="N574" s="11">
        <v>1612.3788406795227</v>
      </c>
      <c r="O574" s="13">
        <v>2024</v>
      </c>
    </row>
    <row r="575" spans="1:15" ht="14.5" customHeight="1" x14ac:dyDescent="0.35">
      <c r="A575" s="20" t="s">
        <v>1181</v>
      </c>
      <c r="B575" s="15" t="s">
        <v>1182</v>
      </c>
      <c r="C575" s="15" t="s">
        <v>3108</v>
      </c>
      <c r="D575" s="16" t="s">
        <v>81</v>
      </c>
      <c r="E575" s="15" t="s">
        <v>214</v>
      </c>
      <c r="F575" s="15" t="s">
        <v>170</v>
      </c>
      <c r="G575" s="17" t="str">
        <f t="shared" si="8"/>
        <v>Small</v>
      </c>
      <c r="H575" s="3">
        <v>1966</v>
      </c>
      <c r="I575" s="4">
        <v>32.799999999999997</v>
      </c>
      <c r="J575" s="5">
        <v>96122.322482197356</v>
      </c>
      <c r="K575" s="6">
        <v>2.6569157392417595E-3</v>
      </c>
      <c r="L575" s="5">
        <v>648.46556968463892</v>
      </c>
      <c r="M575" s="5">
        <v>0</v>
      </c>
      <c r="N575" s="11">
        <v>999.01198372329611</v>
      </c>
      <c r="O575" s="13">
        <v>2024</v>
      </c>
    </row>
    <row r="576" spans="1:15" ht="14.5" customHeight="1" x14ac:dyDescent="0.35">
      <c r="A576" s="20" t="s">
        <v>1183</v>
      </c>
      <c r="B576" s="15" t="s">
        <v>1184</v>
      </c>
      <c r="C576" s="15" t="s">
        <v>3108</v>
      </c>
      <c r="D576" s="16" t="s">
        <v>597</v>
      </c>
      <c r="E576" s="15" t="s">
        <v>169</v>
      </c>
      <c r="F576" s="15" t="s">
        <v>170</v>
      </c>
      <c r="G576" s="17" t="str">
        <f t="shared" ref="G576:G639" si="9">IF(H576&lt;=10000,"Small",(IF(H576&lt;=100000,"Medium",IF(H576&gt;100000,"Large"))))</f>
        <v>Small</v>
      </c>
      <c r="H576" s="3">
        <v>1316</v>
      </c>
      <c r="I576" s="4">
        <v>75.7</v>
      </c>
      <c r="J576" s="5">
        <v>96012.655015197568</v>
      </c>
      <c r="K576" s="6">
        <v>4.3387137716948947E-3</v>
      </c>
      <c r="L576" s="5">
        <v>757.78419452887533</v>
      </c>
      <c r="M576" s="5">
        <v>1475.1717325227964</v>
      </c>
      <c r="N576" s="11">
        <v>1762.9141337386018</v>
      </c>
      <c r="O576" s="13">
        <v>2024</v>
      </c>
    </row>
    <row r="577" spans="1:15" ht="14.5" customHeight="1" x14ac:dyDescent="0.35">
      <c r="A577" s="20" t="s">
        <v>1185</v>
      </c>
      <c r="B577" s="15" t="s">
        <v>1186</v>
      </c>
      <c r="C577" s="15" t="s">
        <v>3108</v>
      </c>
      <c r="D577" s="16" t="s">
        <v>69</v>
      </c>
      <c r="E577" s="15" t="s">
        <v>173</v>
      </c>
      <c r="F577" s="15" t="s">
        <v>170</v>
      </c>
      <c r="G577" s="17" t="str">
        <f t="shared" si="9"/>
        <v>Small</v>
      </c>
      <c r="H577" s="3">
        <v>1760</v>
      </c>
      <c r="I577" s="4">
        <v>52.4</v>
      </c>
      <c r="J577" s="5">
        <v>96527.134090909094</v>
      </c>
      <c r="K577" s="6">
        <v>4.3639353268048343E-3</v>
      </c>
      <c r="L577" s="5">
        <v>539.8475738636364</v>
      </c>
      <c r="M577" s="5">
        <v>144.59817613636363</v>
      </c>
      <c r="N577" s="11">
        <v>1178.7769488636363</v>
      </c>
      <c r="O577" s="13">
        <v>2024</v>
      </c>
    </row>
    <row r="578" spans="1:15" ht="14.5" customHeight="1" x14ac:dyDescent="0.35">
      <c r="A578" s="20" t="s">
        <v>1187</v>
      </c>
      <c r="B578" s="15" t="s">
        <v>1188</v>
      </c>
      <c r="C578" s="15" t="s">
        <v>3108</v>
      </c>
      <c r="D578" s="16" t="s">
        <v>220</v>
      </c>
      <c r="E578" s="15" t="s">
        <v>173</v>
      </c>
      <c r="F578" s="15" t="s">
        <v>170</v>
      </c>
      <c r="G578" s="17" t="str">
        <f t="shared" si="9"/>
        <v>Small</v>
      </c>
      <c r="H578" s="3">
        <v>1239</v>
      </c>
      <c r="I578" s="4">
        <v>54.3</v>
      </c>
      <c r="J578" s="5">
        <v>121338.00968523002</v>
      </c>
      <c r="K578" s="6">
        <v>5.6148821766002499E-3</v>
      </c>
      <c r="L578" s="5">
        <v>684.43451170298624</v>
      </c>
      <c r="M578" s="5">
        <v>189.99192897497983</v>
      </c>
      <c r="N578" s="11">
        <v>966.31020177562561</v>
      </c>
      <c r="O578" s="13">
        <v>2024</v>
      </c>
    </row>
    <row r="579" spans="1:15" ht="14.5" customHeight="1" x14ac:dyDescent="0.35">
      <c r="A579" s="20" t="s">
        <v>1189</v>
      </c>
      <c r="B579" s="15" t="s">
        <v>1190</v>
      </c>
      <c r="C579" s="15" t="s">
        <v>3108</v>
      </c>
      <c r="D579" s="16" t="s">
        <v>63</v>
      </c>
      <c r="E579" s="15" t="s">
        <v>169</v>
      </c>
      <c r="F579" s="15" t="s">
        <v>170</v>
      </c>
      <c r="G579" s="17" t="str">
        <f t="shared" si="9"/>
        <v>Medium</v>
      </c>
      <c r="H579" s="3">
        <v>12433</v>
      </c>
      <c r="I579" s="4">
        <v>44.4</v>
      </c>
      <c r="J579" s="5">
        <v>53204.404005469318</v>
      </c>
      <c r="K579" s="6">
        <v>4.6684747202398744E-3</v>
      </c>
      <c r="L579" s="5">
        <v>319.68921418804791</v>
      </c>
      <c r="M579" s="5">
        <v>447.36242258505592</v>
      </c>
      <c r="N579" s="11">
        <v>1750.3438429984717</v>
      </c>
      <c r="O579" s="13">
        <v>2024</v>
      </c>
    </row>
    <row r="580" spans="1:15" ht="14.5" customHeight="1" x14ac:dyDescent="0.35">
      <c r="A580" s="20" t="s">
        <v>1191</v>
      </c>
      <c r="B580" s="15" t="s">
        <v>1192</v>
      </c>
      <c r="C580" s="15" t="s">
        <v>3108</v>
      </c>
      <c r="D580" s="16" t="s">
        <v>34</v>
      </c>
      <c r="E580" s="15" t="s">
        <v>214</v>
      </c>
      <c r="F580" s="15" t="s">
        <v>170</v>
      </c>
      <c r="G580" s="17" t="str">
        <f t="shared" si="9"/>
        <v>Small</v>
      </c>
      <c r="H580" s="3">
        <v>6146</v>
      </c>
      <c r="I580" s="4">
        <v>58.4</v>
      </c>
      <c r="J580" s="5">
        <v>134873.93231369997</v>
      </c>
      <c r="K580" s="6">
        <v>5.4923714976857759E-4</v>
      </c>
      <c r="L580" s="5">
        <v>385.36137325089487</v>
      </c>
      <c r="M580" s="5">
        <v>12.040351448096322</v>
      </c>
      <c r="N580" s="11">
        <v>457.69817767653757</v>
      </c>
      <c r="O580" s="13">
        <v>2024</v>
      </c>
    </row>
    <row r="581" spans="1:15" ht="14.5" customHeight="1" x14ac:dyDescent="0.35">
      <c r="A581" s="20" t="s">
        <v>1193</v>
      </c>
      <c r="B581" s="15" t="s">
        <v>1194</v>
      </c>
      <c r="C581" s="15" t="s">
        <v>3108</v>
      </c>
      <c r="D581" s="16" t="s">
        <v>61</v>
      </c>
      <c r="E581" s="15" t="s">
        <v>173</v>
      </c>
      <c r="F581" s="15" t="s">
        <v>170</v>
      </c>
      <c r="G581" s="17" t="str">
        <f t="shared" si="9"/>
        <v>Small</v>
      </c>
      <c r="H581" s="3">
        <v>797</v>
      </c>
      <c r="I581" s="4">
        <v>39</v>
      </c>
      <c r="J581" s="5">
        <v>111918.6825595985</v>
      </c>
      <c r="K581" s="6">
        <v>3.9067955661929209E-3</v>
      </c>
      <c r="L581" s="5">
        <v>657.9285319949812</v>
      </c>
      <c r="M581" s="5">
        <v>0</v>
      </c>
      <c r="N581" s="11">
        <v>1066.5876035131744</v>
      </c>
      <c r="O581" s="13">
        <v>2024</v>
      </c>
    </row>
    <row r="582" spans="1:15" ht="14.5" customHeight="1" x14ac:dyDescent="0.35">
      <c r="A582" s="20" t="s">
        <v>1195</v>
      </c>
      <c r="B582" s="15" t="s">
        <v>1196</v>
      </c>
      <c r="C582" s="15" t="s">
        <v>3108</v>
      </c>
      <c r="D582" s="16" t="s">
        <v>79</v>
      </c>
      <c r="E582" s="15" t="s">
        <v>178</v>
      </c>
      <c r="F582" s="15" t="s">
        <v>170</v>
      </c>
      <c r="G582" s="17" t="str">
        <f t="shared" si="9"/>
        <v>Small</v>
      </c>
      <c r="H582" s="3">
        <v>9095</v>
      </c>
      <c r="I582" s="4">
        <v>39.5</v>
      </c>
      <c r="J582" s="5">
        <v>155380.16217702033</v>
      </c>
      <c r="K582" s="6">
        <v>1.7356249952346038E-3</v>
      </c>
      <c r="L582" s="5">
        <v>434.15327102803741</v>
      </c>
      <c r="M582" s="5">
        <v>155.57998900494778</v>
      </c>
      <c r="N582" s="11">
        <v>617.53073117097301</v>
      </c>
      <c r="O582" s="13">
        <v>2024</v>
      </c>
    </row>
    <row r="583" spans="1:15" ht="14.5" customHeight="1" x14ac:dyDescent="0.35">
      <c r="A583" s="20" t="s">
        <v>1197</v>
      </c>
      <c r="B583" s="15" t="s">
        <v>1198</v>
      </c>
      <c r="C583" s="15" t="s">
        <v>3108</v>
      </c>
      <c r="D583" s="16" t="s">
        <v>5</v>
      </c>
      <c r="E583" s="15" t="s">
        <v>183</v>
      </c>
      <c r="F583" s="15" t="s">
        <v>170</v>
      </c>
      <c r="G583" s="17" t="str">
        <f t="shared" si="9"/>
        <v>Small</v>
      </c>
      <c r="H583" s="3">
        <v>2114</v>
      </c>
      <c r="I583" s="4">
        <v>16.899999999999999</v>
      </c>
      <c r="J583" s="5">
        <v>53097.963103122042</v>
      </c>
      <c r="K583" s="6">
        <v>3.2956435265303788E-3</v>
      </c>
      <c r="L583" s="5">
        <v>282.62972090823081</v>
      </c>
      <c r="M583" s="5">
        <v>84.46546830652791</v>
      </c>
      <c r="N583" s="11">
        <v>329.75894985808895</v>
      </c>
      <c r="O583" s="13">
        <v>2024</v>
      </c>
    </row>
    <row r="584" spans="1:15" ht="14.5" customHeight="1" x14ac:dyDescent="0.35">
      <c r="A584" s="20" t="s">
        <v>1199</v>
      </c>
      <c r="B584" s="15" t="s">
        <v>1200</v>
      </c>
      <c r="C584" s="15" t="s">
        <v>3108</v>
      </c>
      <c r="D584" s="16" t="s">
        <v>220</v>
      </c>
      <c r="E584" s="15" t="s">
        <v>173</v>
      </c>
      <c r="F584" s="15" t="s">
        <v>170</v>
      </c>
      <c r="G584" s="17" t="str">
        <f t="shared" si="9"/>
        <v>Small</v>
      </c>
      <c r="H584" s="3">
        <v>1484</v>
      </c>
      <c r="I584" s="4">
        <v>58.1</v>
      </c>
      <c r="J584" s="5">
        <v>153746.28436657682</v>
      </c>
      <c r="K584" s="6">
        <v>4.2705465684648317E-3</v>
      </c>
      <c r="L584" s="5">
        <v>664.97529649595685</v>
      </c>
      <c r="M584" s="5">
        <v>59.631051212938004</v>
      </c>
      <c r="N584" s="11">
        <v>1074.2856064690027</v>
      </c>
      <c r="O584" s="13">
        <v>2024</v>
      </c>
    </row>
    <row r="585" spans="1:15" ht="14.5" customHeight="1" x14ac:dyDescent="0.35">
      <c r="A585" s="20" t="s">
        <v>1201</v>
      </c>
      <c r="B585" s="15" t="s">
        <v>1202</v>
      </c>
      <c r="C585" s="15" t="s">
        <v>3108</v>
      </c>
      <c r="D585" s="16" t="s">
        <v>26</v>
      </c>
      <c r="E585" s="15" t="s">
        <v>183</v>
      </c>
      <c r="F585" s="15" t="s">
        <v>170</v>
      </c>
      <c r="G585" s="17" t="str">
        <f t="shared" si="9"/>
        <v>Small</v>
      </c>
      <c r="H585" s="3">
        <v>5259</v>
      </c>
      <c r="I585" s="4">
        <v>46.3</v>
      </c>
      <c r="J585" s="5">
        <v>73190.290739684351</v>
      </c>
      <c r="K585" s="6">
        <v>7.4900884235014047E-3</v>
      </c>
      <c r="L585" s="5">
        <v>607.86252139189958</v>
      </c>
      <c r="M585" s="5">
        <v>1910.9996196995626</v>
      </c>
      <c r="N585" s="11">
        <v>772.10001901502187</v>
      </c>
      <c r="O585" s="13">
        <v>2024</v>
      </c>
    </row>
    <row r="586" spans="1:15" ht="14.5" customHeight="1" x14ac:dyDescent="0.35">
      <c r="A586" s="20" t="s">
        <v>1203</v>
      </c>
      <c r="B586" s="15" t="s">
        <v>1204</v>
      </c>
      <c r="C586" s="15" t="s">
        <v>3108</v>
      </c>
      <c r="D586" s="16" t="s">
        <v>338</v>
      </c>
      <c r="E586" s="15" t="s">
        <v>214</v>
      </c>
      <c r="F586" s="15" t="s">
        <v>170</v>
      </c>
      <c r="G586" s="17" t="str">
        <f t="shared" si="9"/>
        <v>Small</v>
      </c>
      <c r="H586" s="3">
        <v>3112</v>
      </c>
      <c r="I586" s="4">
        <v>49.1</v>
      </c>
      <c r="J586" s="5">
        <v>90267.967223650383</v>
      </c>
      <c r="K586" s="6">
        <v>3.6739642593851727E-3</v>
      </c>
      <c r="L586" s="5">
        <v>377.05432197943446</v>
      </c>
      <c r="M586" s="5">
        <v>0</v>
      </c>
      <c r="N586" s="11">
        <v>537.84109897172232</v>
      </c>
      <c r="O586" s="13">
        <v>2024</v>
      </c>
    </row>
    <row r="587" spans="1:15" ht="14.5" customHeight="1" x14ac:dyDescent="0.35">
      <c r="A587" s="20" t="s">
        <v>1205</v>
      </c>
      <c r="B587" s="15" t="s">
        <v>1206</v>
      </c>
      <c r="C587" s="15" t="s">
        <v>3108</v>
      </c>
      <c r="D587" s="16" t="s">
        <v>231</v>
      </c>
      <c r="E587" s="15" t="s">
        <v>178</v>
      </c>
      <c r="F587" s="15" t="s">
        <v>170</v>
      </c>
      <c r="G587" s="17" t="str">
        <f t="shared" si="9"/>
        <v>Small</v>
      </c>
      <c r="H587" s="3">
        <v>1339</v>
      </c>
      <c r="I587" s="4">
        <v>35.6</v>
      </c>
      <c r="J587" s="5">
        <v>101449.42494398805</v>
      </c>
      <c r="K587" s="6">
        <v>6.7167532459692881E-3</v>
      </c>
      <c r="L587" s="5">
        <v>730.19342793129204</v>
      </c>
      <c r="M587" s="5">
        <v>0</v>
      </c>
      <c r="N587" s="11">
        <v>1135.2233009708739</v>
      </c>
      <c r="O587" s="13">
        <v>2024</v>
      </c>
    </row>
    <row r="588" spans="1:15" ht="14.5" customHeight="1" x14ac:dyDescent="0.35">
      <c r="A588" s="20" t="s">
        <v>1207</v>
      </c>
      <c r="B588" s="15" t="s">
        <v>1208</v>
      </c>
      <c r="C588" s="15" t="s">
        <v>3108</v>
      </c>
      <c r="D588" s="16" t="s">
        <v>69</v>
      </c>
      <c r="E588" s="15" t="s">
        <v>173</v>
      </c>
      <c r="F588" s="15" t="s">
        <v>170</v>
      </c>
      <c r="G588" s="17" t="str">
        <f t="shared" si="9"/>
        <v>Small</v>
      </c>
      <c r="H588" s="3">
        <v>1882</v>
      </c>
      <c r="I588" s="4">
        <v>63.3</v>
      </c>
      <c r="J588" s="5">
        <v>183956.17321997875</v>
      </c>
      <c r="K588" s="6">
        <v>2.4644503499796902E-3</v>
      </c>
      <c r="L588" s="5">
        <v>656.75036663124342</v>
      </c>
      <c r="M588" s="5">
        <v>0</v>
      </c>
      <c r="N588" s="11">
        <v>896.87426142401705</v>
      </c>
      <c r="O588" s="13">
        <v>2024</v>
      </c>
    </row>
    <row r="589" spans="1:15" ht="14.5" customHeight="1" x14ac:dyDescent="0.35">
      <c r="A589" s="20" t="s">
        <v>1209</v>
      </c>
      <c r="B589" s="15" t="s">
        <v>1210</v>
      </c>
      <c r="C589" s="15" t="s">
        <v>3108</v>
      </c>
      <c r="D589" s="16" t="s">
        <v>289</v>
      </c>
      <c r="E589" s="15" t="s">
        <v>178</v>
      </c>
      <c r="F589" s="15" t="s">
        <v>170</v>
      </c>
      <c r="G589" s="17" t="str">
        <f t="shared" si="9"/>
        <v>Small</v>
      </c>
      <c r="H589" s="3">
        <v>1377</v>
      </c>
      <c r="I589" s="4">
        <v>30.9</v>
      </c>
      <c r="J589" s="5">
        <v>196503.89397240378</v>
      </c>
      <c r="K589" s="6">
        <v>6.4226443213060407E-3</v>
      </c>
      <c r="L589" s="5">
        <v>1306.0550980392156</v>
      </c>
      <c r="M589" s="5">
        <v>257.80682643427741</v>
      </c>
      <c r="N589" s="11">
        <v>1767.9391721132899</v>
      </c>
      <c r="O589" s="13">
        <v>2024</v>
      </c>
    </row>
    <row r="590" spans="1:15" ht="14.5" customHeight="1" x14ac:dyDescent="0.35">
      <c r="A590" s="20" t="s">
        <v>1211</v>
      </c>
      <c r="B590" s="15" t="s">
        <v>124</v>
      </c>
      <c r="C590" s="15" t="s">
        <v>3108</v>
      </c>
      <c r="D590" s="16" t="s">
        <v>220</v>
      </c>
      <c r="E590" s="15" t="s">
        <v>173</v>
      </c>
      <c r="F590" s="15" t="s">
        <v>170</v>
      </c>
      <c r="G590" s="17" t="str">
        <f t="shared" si="9"/>
        <v>Small</v>
      </c>
      <c r="H590" s="3">
        <v>3336</v>
      </c>
      <c r="I590" s="4">
        <v>96.7</v>
      </c>
      <c r="J590" s="5">
        <v>322894.58063549158</v>
      </c>
      <c r="K590" s="6">
        <v>2.9943807129046611E-3</v>
      </c>
      <c r="L590" s="5">
        <v>974.77218225419665</v>
      </c>
      <c r="M590" s="5">
        <v>84.832134292565954</v>
      </c>
      <c r="N590" s="11">
        <v>1404.5893285371703</v>
      </c>
      <c r="O590" s="13">
        <v>2024</v>
      </c>
    </row>
    <row r="591" spans="1:15" ht="14.5" customHeight="1" x14ac:dyDescent="0.35">
      <c r="A591" s="20" t="s">
        <v>1212</v>
      </c>
      <c r="B591" s="15" t="s">
        <v>1213</v>
      </c>
      <c r="C591" s="15" t="s">
        <v>3108</v>
      </c>
      <c r="D591" s="16" t="s">
        <v>9</v>
      </c>
      <c r="E591" s="15" t="s">
        <v>207</v>
      </c>
      <c r="F591" s="15" t="s">
        <v>208</v>
      </c>
      <c r="G591" s="17" t="str">
        <f t="shared" si="9"/>
        <v>Small</v>
      </c>
      <c r="H591" s="3">
        <v>2245</v>
      </c>
      <c r="I591" s="4">
        <v>36.1</v>
      </c>
      <c r="J591" s="5">
        <v>319099.79777282849</v>
      </c>
      <c r="K591" s="6">
        <v>2.3494239807790246E-3</v>
      </c>
      <c r="L591" s="5">
        <v>867.37054342984413</v>
      </c>
      <c r="M591" s="5">
        <v>196.04454342984411</v>
      </c>
      <c r="N591" s="11">
        <v>1566.1964008908685</v>
      </c>
      <c r="O591" s="13">
        <v>2024</v>
      </c>
    </row>
    <row r="592" spans="1:15" ht="14.5" customHeight="1" x14ac:dyDescent="0.35">
      <c r="A592" s="20" t="s">
        <v>1214</v>
      </c>
      <c r="B592" s="15" t="s">
        <v>1215</v>
      </c>
      <c r="C592" s="15" t="s">
        <v>3108</v>
      </c>
      <c r="D592" s="16" t="s">
        <v>69</v>
      </c>
      <c r="E592" s="15" t="s">
        <v>173</v>
      </c>
      <c r="F592" s="15" t="s">
        <v>170</v>
      </c>
      <c r="G592" s="17" t="str">
        <f t="shared" si="9"/>
        <v>Small</v>
      </c>
      <c r="H592" s="3">
        <v>2827</v>
      </c>
      <c r="I592" s="4">
        <v>46.1</v>
      </c>
      <c r="J592" s="5">
        <v>116300.11991510435</v>
      </c>
      <c r="K592" s="6">
        <v>2.2512196961936657E-3</v>
      </c>
      <c r="L592" s="5">
        <v>400.39853555005311</v>
      </c>
      <c r="M592" s="5">
        <v>65.724343827378846</v>
      </c>
      <c r="N592" s="11">
        <v>643.03426600636726</v>
      </c>
      <c r="O592" s="13">
        <v>2024</v>
      </c>
    </row>
    <row r="593" spans="1:15" ht="14.5" customHeight="1" x14ac:dyDescent="0.35">
      <c r="A593" s="20" t="s">
        <v>1216</v>
      </c>
      <c r="B593" s="15" t="s">
        <v>1217</v>
      </c>
      <c r="C593" s="15" t="s">
        <v>3108</v>
      </c>
      <c r="D593" s="16" t="s">
        <v>289</v>
      </c>
      <c r="E593" s="15" t="s">
        <v>178</v>
      </c>
      <c r="F593" s="15" t="s">
        <v>170</v>
      </c>
      <c r="G593" s="17" t="str">
        <f t="shared" si="9"/>
        <v>Small</v>
      </c>
      <c r="H593" s="3">
        <v>6803</v>
      </c>
      <c r="I593" s="4">
        <v>38.4</v>
      </c>
      <c r="J593" s="5">
        <v>103916.36983683669</v>
      </c>
      <c r="K593" s="6">
        <v>2.845161233521912E-3</v>
      </c>
      <c r="L593" s="5">
        <v>322.49507570189621</v>
      </c>
      <c r="M593" s="5">
        <v>412.0241070116125</v>
      </c>
      <c r="N593" s="11">
        <v>436.07232103483756</v>
      </c>
      <c r="O593" s="13">
        <v>2024</v>
      </c>
    </row>
    <row r="594" spans="1:15" ht="14.5" customHeight="1" x14ac:dyDescent="0.35">
      <c r="A594" s="20" t="s">
        <v>1218</v>
      </c>
      <c r="B594" s="15" t="s">
        <v>1219</v>
      </c>
      <c r="C594" s="15" t="s">
        <v>3108</v>
      </c>
      <c r="D594" s="16" t="s">
        <v>51</v>
      </c>
      <c r="E594" s="15" t="s">
        <v>217</v>
      </c>
      <c r="F594" s="15" t="s">
        <v>170</v>
      </c>
      <c r="G594" s="17" t="str">
        <f t="shared" si="9"/>
        <v>Medium</v>
      </c>
      <c r="H594" s="3">
        <v>18800</v>
      </c>
      <c r="I594" s="4">
        <v>35.700000000000003</v>
      </c>
      <c r="J594" s="5">
        <v>108420.16191489362</v>
      </c>
      <c r="K594" s="6">
        <v>1.0605776793957032E-3</v>
      </c>
      <c r="L594" s="5">
        <v>368.95730531914893</v>
      </c>
      <c r="M594" s="5">
        <v>587.14028191489365</v>
      </c>
      <c r="N594" s="11">
        <v>700.19685425531907</v>
      </c>
      <c r="O594" s="13">
        <v>2024</v>
      </c>
    </row>
    <row r="595" spans="1:15" ht="14.5" customHeight="1" x14ac:dyDescent="0.35">
      <c r="A595" s="20" t="s">
        <v>1220</v>
      </c>
      <c r="B595" s="15" t="s">
        <v>1221</v>
      </c>
      <c r="C595" s="15" t="s">
        <v>3108</v>
      </c>
      <c r="D595" s="16" t="s">
        <v>22</v>
      </c>
      <c r="E595" s="15" t="s">
        <v>186</v>
      </c>
      <c r="F595" s="15" t="s">
        <v>170</v>
      </c>
      <c r="G595" s="17" t="str">
        <f t="shared" si="9"/>
        <v>Small</v>
      </c>
      <c r="H595" s="3">
        <v>1007</v>
      </c>
      <c r="I595" s="4">
        <v>35.799999999999997</v>
      </c>
      <c r="J595" s="5">
        <v>207107.97219463755</v>
      </c>
      <c r="K595" s="6">
        <v>3.924798221814154E-3</v>
      </c>
      <c r="L595" s="5">
        <v>1252.7522442899701</v>
      </c>
      <c r="M595" s="5">
        <v>297.91459781529295</v>
      </c>
      <c r="N595" s="11">
        <v>1487.3773286991063</v>
      </c>
      <c r="O595" s="13">
        <v>2024</v>
      </c>
    </row>
    <row r="596" spans="1:15" ht="14.5" customHeight="1" x14ac:dyDescent="0.35">
      <c r="A596" s="20" t="s">
        <v>1222</v>
      </c>
      <c r="B596" s="15" t="s">
        <v>1223</v>
      </c>
      <c r="C596" s="15" t="s">
        <v>3108</v>
      </c>
      <c r="D596" s="16" t="s">
        <v>3</v>
      </c>
      <c r="E596" s="15" t="s">
        <v>214</v>
      </c>
      <c r="F596" s="15" t="s">
        <v>170</v>
      </c>
      <c r="G596" s="17" t="str">
        <f t="shared" si="9"/>
        <v>Small</v>
      </c>
      <c r="H596" s="3">
        <v>4166</v>
      </c>
      <c r="I596" s="4">
        <v>51</v>
      </c>
      <c r="J596" s="5">
        <v>70994.513922227561</v>
      </c>
      <c r="K596" s="6">
        <v>2.9865215289078696E-3</v>
      </c>
      <c r="L596" s="5">
        <v>461.77611137782048</v>
      </c>
      <c r="M596" s="5">
        <v>0</v>
      </c>
      <c r="N596" s="11">
        <v>1090.1497911665867</v>
      </c>
      <c r="O596" s="13">
        <v>2024</v>
      </c>
    </row>
    <row r="597" spans="1:15" ht="14.5" customHeight="1" x14ac:dyDescent="0.35">
      <c r="A597" s="20" t="s">
        <v>1224</v>
      </c>
      <c r="B597" s="15" t="s">
        <v>1225</v>
      </c>
      <c r="C597" s="15" t="s">
        <v>3108</v>
      </c>
      <c r="D597" s="16" t="s">
        <v>496</v>
      </c>
      <c r="E597" s="15" t="s">
        <v>169</v>
      </c>
      <c r="F597" s="15" t="s">
        <v>170</v>
      </c>
      <c r="G597" s="17" t="str">
        <f t="shared" si="9"/>
        <v>Small</v>
      </c>
      <c r="H597" s="3">
        <v>773</v>
      </c>
      <c r="I597" s="4">
        <v>156.80000000000001</v>
      </c>
      <c r="J597" s="5">
        <v>515425.98576972832</v>
      </c>
      <c r="K597" s="6">
        <v>5.4712628499978969E-3</v>
      </c>
      <c r="L597" s="5">
        <v>2900.2715523932729</v>
      </c>
      <c r="M597" s="5">
        <v>2364.7159508408795</v>
      </c>
      <c r="N597" s="11">
        <v>4574.1888745148772</v>
      </c>
      <c r="O597" s="13">
        <v>2024</v>
      </c>
    </row>
    <row r="598" spans="1:15" ht="14.5" customHeight="1" x14ac:dyDescent="0.35">
      <c r="A598" s="20" t="s">
        <v>1226</v>
      </c>
      <c r="B598" s="15" t="s">
        <v>1227</v>
      </c>
      <c r="C598" s="15" t="s">
        <v>3108</v>
      </c>
      <c r="D598" s="16" t="s">
        <v>26</v>
      </c>
      <c r="E598" s="15" t="s">
        <v>183</v>
      </c>
      <c r="F598" s="15" t="s">
        <v>170</v>
      </c>
      <c r="G598" s="17" t="str">
        <f t="shared" si="9"/>
        <v>Small</v>
      </c>
      <c r="H598" s="3">
        <v>1643</v>
      </c>
      <c r="I598" s="4">
        <v>5.8</v>
      </c>
      <c r="J598" s="5">
        <v>75642.892270237367</v>
      </c>
      <c r="K598" s="6">
        <v>8.1588807684556033E-3</v>
      </c>
      <c r="L598" s="5">
        <v>717.29690809494821</v>
      </c>
      <c r="M598" s="5">
        <v>68.733061472915395</v>
      </c>
      <c r="N598" s="11">
        <v>1063.3859707851491</v>
      </c>
      <c r="O598" s="13">
        <v>2024</v>
      </c>
    </row>
    <row r="599" spans="1:15" ht="14.5" customHeight="1" x14ac:dyDescent="0.35">
      <c r="A599" s="20" t="s">
        <v>1228</v>
      </c>
      <c r="B599" s="15" t="s">
        <v>1229</v>
      </c>
      <c r="C599" s="15" t="s">
        <v>3108</v>
      </c>
      <c r="D599" s="16" t="s">
        <v>53</v>
      </c>
      <c r="E599" s="15" t="s">
        <v>207</v>
      </c>
      <c r="F599" s="15" t="s">
        <v>208</v>
      </c>
      <c r="G599" s="17" t="str">
        <f t="shared" si="9"/>
        <v>Small</v>
      </c>
      <c r="H599" s="3">
        <v>4621</v>
      </c>
      <c r="I599" s="4">
        <v>23</v>
      </c>
      <c r="J599" s="5">
        <v>143376.92685565894</v>
      </c>
      <c r="K599" s="6">
        <v>2.486322513153485E-3</v>
      </c>
      <c r="L599" s="5">
        <v>573.81605713049123</v>
      </c>
      <c r="M599" s="5">
        <v>0</v>
      </c>
      <c r="N599" s="11">
        <v>698.51893529539063</v>
      </c>
      <c r="O599" s="13">
        <v>2024</v>
      </c>
    </row>
    <row r="600" spans="1:15" ht="14.5" customHeight="1" x14ac:dyDescent="0.35">
      <c r="A600" s="20" t="s">
        <v>1230</v>
      </c>
      <c r="B600" s="15" t="s">
        <v>1231</v>
      </c>
      <c r="C600" s="15" t="s">
        <v>3108</v>
      </c>
      <c r="D600" s="16" t="s">
        <v>3</v>
      </c>
      <c r="E600" s="15" t="s">
        <v>214</v>
      </c>
      <c r="F600" s="15" t="s">
        <v>170</v>
      </c>
      <c r="G600" s="17" t="str">
        <f t="shared" si="9"/>
        <v>Small</v>
      </c>
      <c r="H600" s="3">
        <v>3572</v>
      </c>
      <c r="I600" s="4">
        <v>34.700000000000003</v>
      </c>
      <c r="J600" s="5">
        <v>83102.104703247474</v>
      </c>
      <c r="K600" s="6">
        <v>7.4699994493343069E-4</v>
      </c>
      <c r="L600" s="5">
        <v>448.04530795072782</v>
      </c>
      <c r="M600" s="5">
        <v>0</v>
      </c>
      <c r="N600" s="11">
        <v>530.20716685330342</v>
      </c>
      <c r="O600" s="13">
        <v>2024</v>
      </c>
    </row>
    <row r="601" spans="1:15" ht="14.5" customHeight="1" x14ac:dyDescent="0.35">
      <c r="A601" s="20" t="s">
        <v>1232</v>
      </c>
      <c r="B601" s="15" t="s">
        <v>1233</v>
      </c>
      <c r="C601" s="15" t="s">
        <v>3108</v>
      </c>
      <c r="D601" s="16" t="s">
        <v>282</v>
      </c>
      <c r="E601" s="15" t="s">
        <v>169</v>
      </c>
      <c r="F601" s="15" t="s">
        <v>170</v>
      </c>
      <c r="G601" s="17" t="str">
        <f t="shared" si="9"/>
        <v>Small</v>
      </c>
      <c r="H601" s="3">
        <v>2916</v>
      </c>
      <c r="I601" s="4">
        <v>45.2</v>
      </c>
      <c r="J601" s="5">
        <v>47788.344650205763</v>
      </c>
      <c r="K601" s="6">
        <v>6.1491783331038049E-3</v>
      </c>
      <c r="L601" s="5">
        <v>314.79663923182443</v>
      </c>
      <c r="M601" s="5">
        <v>29.62962962962963</v>
      </c>
      <c r="N601" s="11">
        <v>534.73799725651577</v>
      </c>
      <c r="O601" s="13">
        <v>2024</v>
      </c>
    </row>
    <row r="602" spans="1:15" ht="14.5" customHeight="1" x14ac:dyDescent="0.35">
      <c r="A602" s="20" t="s">
        <v>1234</v>
      </c>
      <c r="B602" s="15" t="s">
        <v>79</v>
      </c>
      <c r="C602" s="15" t="s">
        <v>3108</v>
      </c>
      <c r="D602" s="16" t="s">
        <v>53</v>
      </c>
      <c r="E602" s="15" t="s">
        <v>207</v>
      </c>
      <c r="F602" s="15" t="s">
        <v>208</v>
      </c>
      <c r="G602" s="17" t="str">
        <f t="shared" si="9"/>
        <v>Medium</v>
      </c>
      <c r="H602" s="3">
        <v>21387</v>
      </c>
      <c r="I602" s="4">
        <v>20</v>
      </c>
      <c r="J602" s="5">
        <v>156200.37966989292</v>
      </c>
      <c r="K602" s="6">
        <v>1.2040357252784176E-3</v>
      </c>
      <c r="L602" s="5">
        <v>472.68434095478563</v>
      </c>
      <c r="M602" s="5">
        <v>1226.67975873194</v>
      </c>
      <c r="N602" s="11">
        <v>693.73236077991305</v>
      </c>
      <c r="O602" s="13">
        <v>2024</v>
      </c>
    </row>
    <row r="603" spans="1:15" ht="14.5" customHeight="1" x14ac:dyDescent="0.35">
      <c r="A603" s="20" t="s">
        <v>1235</v>
      </c>
      <c r="B603" s="15" t="s">
        <v>1236</v>
      </c>
      <c r="C603" s="15" t="s">
        <v>3108</v>
      </c>
      <c r="D603" s="16" t="s">
        <v>597</v>
      </c>
      <c r="E603" s="15" t="s">
        <v>169</v>
      </c>
      <c r="F603" s="15" t="s">
        <v>170</v>
      </c>
      <c r="G603" s="17" t="str">
        <f t="shared" si="9"/>
        <v>Small</v>
      </c>
      <c r="H603" s="3">
        <v>97</v>
      </c>
      <c r="I603" s="4">
        <v>65.2</v>
      </c>
      <c r="J603" s="5">
        <v>504711.57731958764</v>
      </c>
      <c r="K603" s="6">
        <v>4.9256935006035804E-3</v>
      </c>
      <c r="L603" s="5">
        <v>2674.1774226804123</v>
      </c>
      <c r="M603" s="5">
        <v>0</v>
      </c>
      <c r="N603" s="11">
        <v>6029.1219587628866</v>
      </c>
      <c r="O603" s="13">
        <v>2024</v>
      </c>
    </row>
    <row r="604" spans="1:15" ht="14.5" customHeight="1" x14ac:dyDescent="0.35">
      <c r="A604" s="20" t="s">
        <v>1237</v>
      </c>
      <c r="B604" s="15" t="s">
        <v>1238</v>
      </c>
      <c r="C604" s="15" t="s">
        <v>3108</v>
      </c>
      <c r="D604" s="16" t="s">
        <v>5</v>
      </c>
      <c r="E604" s="15" t="s">
        <v>183</v>
      </c>
      <c r="F604" s="15" t="s">
        <v>170</v>
      </c>
      <c r="G604" s="17" t="str">
        <f t="shared" si="9"/>
        <v>Small</v>
      </c>
      <c r="H604" s="3">
        <v>1177</v>
      </c>
      <c r="I604" s="4">
        <v>18.2</v>
      </c>
      <c r="J604" s="5">
        <v>80358.605777400167</v>
      </c>
      <c r="K604" s="6">
        <v>2.9154677388726043E-3</v>
      </c>
      <c r="L604" s="5">
        <v>499.96695836873408</v>
      </c>
      <c r="M604" s="5">
        <v>776.84475785896348</v>
      </c>
      <c r="N604" s="11">
        <v>744.34474936278673</v>
      </c>
      <c r="O604" s="13">
        <v>2024</v>
      </c>
    </row>
    <row r="605" spans="1:15" ht="14.5" customHeight="1" x14ac:dyDescent="0.35">
      <c r="A605" s="20" t="s">
        <v>1239</v>
      </c>
      <c r="B605" s="15" t="s">
        <v>3</v>
      </c>
      <c r="C605" s="15" t="s">
        <v>3108</v>
      </c>
      <c r="D605" s="16" t="s">
        <v>53</v>
      </c>
      <c r="E605" s="15" t="s">
        <v>207</v>
      </c>
      <c r="F605" s="15" t="s">
        <v>208</v>
      </c>
      <c r="G605" s="17" t="str">
        <f t="shared" si="9"/>
        <v>Medium</v>
      </c>
      <c r="H605" s="3">
        <v>23322</v>
      </c>
      <c r="I605" s="4">
        <v>50.3</v>
      </c>
      <c r="J605" s="5">
        <v>152586.96651230598</v>
      </c>
      <c r="K605" s="6">
        <v>2.3217897038056465E-3</v>
      </c>
      <c r="L605" s="5">
        <v>472.98104793756966</v>
      </c>
      <c r="M605" s="5">
        <v>491.91561615641882</v>
      </c>
      <c r="N605" s="11">
        <v>1141.2341137123747</v>
      </c>
      <c r="O605" s="13">
        <v>2024</v>
      </c>
    </row>
    <row r="606" spans="1:15" ht="14.5" customHeight="1" x14ac:dyDescent="0.35">
      <c r="A606" s="20" t="s">
        <v>1240</v>
      </c>
      <c r="B606" s="15" t="s">
        <v>1241</v>
      </c>
      <c r="C606" s="15" t="s">
        <v>3108</v>
      </c>
      <c r="D606" s="16" t="s">
        <v>451</v>
      </c>
      <c r="E606" s="15" t="s">
        <v>173</v>
      </c>
      <c r="F606" s="15" t="s">
        <v>170</v>
      </c>
      <c r="G606" s="17" t="str">
        <f t="shared" si="9"/>
        <v>Small</v>
      </c>
      <c r="H606" s="3">
        <v>2323</v>
      </c>
      <c r="I606" s="4">
        <v>18.600000000000001</v>
      </c>
      <c r="J606" s="5">
        <v>81504.625053809723</v>
      </c>
      <c r="K606" s="6">
        <v>3.7015296528732922E-3</v>
      </c>
      <c r="L606" s="5">
        <v>342.3632242789497</v>
      </c>
      <c r="M606" s="5">
        <v>86.095566078346963</v>
      </c>
      <c r="N606" s="11">
        <v>550.93015066724058</v>
      </c>
      <c r="O606" s="13">
        <v>2024</v>
      </c>
    </row>
    <row r="607" spans="1:15" ht="14.5" customHeight="1" x14ac:dyDescent="0.35">
      <c r="A607" s="20" t="s">
        <v>1242</v>
      </c>
      <c r="B607" s="15" t="s">
        <v>1243</v>
      </c>
      <c r="C607" s="15" t="s">
        <v>3108</v>
      </c>
      <c r="D607" s="16" t="s">
        <v>73</v>
      </c>
      <c r="E607" s="15" t="s">
        <v>169</v>
      </c>
      <c r="F607" s="15" t="s">
        <v>170</v>
      </c>
      <c r="G607" s="17" t="str">
        <f t="shared" si="9"/>
        <v>Small</v>
      </c>
      <c r="H607" s="3">
        <v>3467</v>
      </c>
      <c r="I607" s="4">
        <v>87.6</v>
      </c>
      <c r="J607" s="5">
        <v>69283.75685030286</v>
      </c>
      <c r="K607" s="6" t="s">
        <v>27</v>
      </c>
      <c r="L607" s="5">
        <v>0</v>
      </c>
      <c r="M607" s="5">
        <v>0</v>
      </c>
      <c r="N607" s="11">
        <v>0</v>
      </c>
      <c r="O607" s="13">
        <v>2024</v>
      </c>
    </row>
    <row r="608" spans="1:15" ht="14.5" customHeight="1" x14ac:dyDescent="0.35">
      <c r="A608" s="20" t="s">
        <v>1244</v>
      </c>
      <c r="B608" s="15" t="s">
        <v>1245</v>
      </c>
      <c r="C608" s="15" t="s">
        <v>3108</v>
      </c>
      <c r="D608" s="16" t="s">
        <v>5</v>
      </c>
      <c r="E608" s="15" t="s">
        <v>183</v>
      </c>
      <c r="F608" s="15" t="s">
        <v>170</v>
      </c>
      <c r="G608" s="17" t="str">
        <f t="shared" si="9"/>
        <v>Small</v>
      </c>
      <c r="H608" s="3">
        <v>3323</v>
      </c>
      <c r="I608" s="4">
        <v>28.9</v>
      </c>
      <c r="J608" s="5">
        <v>72473.143845922357</v>
      </c>
      <c r="K608" s="6">
        <v>2.1848017610325522E-3</v>
      </c>
      <c r="L608" s="5">
        <v>319.06085765874212</v>
      </c>
      <c r="M608" s="5">
        <v>68.72994282275053</v>
      </c>
      <c r="N608" s="11">
        <v>367.23375865182066</v>
      </c>
      <c r="O608" s="13">
        <v>2024</v>
      </c>
    </row>
    <row r="609" spans="1:15" ht="14.5" customHeight="1" x14ac:dyDescent="0.35">
      <c r="A609" s="20" t="s">
        <v>1246</v>
      </c>
      <c r="B609" s="15" t="s">
        <v>1247</v>
      </c>
      <c r="C609" s="15" t="s">
        <v>3108</v>
      </c>
      <c r="D609" s="16" t="s">
        <v>51</v>
      </c>
      <c r="E609" s="15" t="s">
        <v>217</v>
      </c>
      <c r="F609" s="15" t="s">
        <v>170</v>
      </c>
      <c r="G609" s="17" t="str">
        <f t="shared" si="9"/>
        <v>Medium</v>
      </c>
      <c r="H609" s="3">
        <v>16202</v>
      </c>
      <c r="I609" s="4">
        <v>41.9</v>
      </c>
      <c r="J609" s="5">
        <v>115832.80508579187</v>
      </c>
      <c r="K609" s="6">
        <v>1.3015931810011049E-3</v>
      </c>
      <c r="L609" s="5">
        <v>379.35526478212569</v>
      </c>
      <c r="M609" s="5">
        <v>1159.5357980496235</v>
      </c>
      <c r="N609" s="11">
        <v>728.18071842982351</v>
      </c>
      <c r="O609" s="13">
        <v>2024</v>
      </c>
    </row>
    <row r="610" spans="1:15" ht="14.5" customHeight="1" x14ac:dyDescent="0.35">
      <c r="A610" s="20" t="s">
        <v>1248</v>
      </c>
      <c r="B610" s="15" t="s">
        <v>1249</v>
      </c>
      <c r="C610" s="15" t="s">
        <v>3108</v>
      </c>
      <c r="D610" s="16" t="s">
        <v>240</v>
      </c>
      <c r="E610" s="15" t="s">
        <v>214</v>
      </c>
      <c r="F610" s="15" t="s">
        <v>170</v>
      </c>
      <c r="G610" s="17" t="str">
        <f t="shared" si="9"/>
        <v>Small</v>
      </c>
      <c r="H610" s="3">
        <v>92</v>
      </c>
      <c r="I610" s="4">
        <v>191.1</v>
      </c>
      <c r="J610" s="5">
        <v>2040501.0217391304</v>
      </c>
      <c r="K610" s="6">
        <v>3.4497068905082534E-3</v>
      </c>
      <c r="L610" s="5">
        <v>7042.6943478260873</v>
      </c>
      <c r="M610" s="5">
        <v>0</v>
      </c>
      <c r="N610" s="11">
        <v>8812.0956521739135</v>
      </c>
      <c r="O610" s="13">
        <v>2024</v>
      </c>
    </row>
    <row r="611" spans="1:15" ht="14.5" customHeight="1" x14ac:dyDescent="0.35">
      <c r="A611" s="20" t="s">
        <v>1250</v>
      </c>
      <c r="B611" s="15" t="s">
        <v>1251</v>
      </c>
      <c r="C611" s="15" t="s">
        <v>3108</v>
      </c>
      <c r="D611" s="16" t="s">
        <v>496</v>
      </c>
      <c r="E611" s="15" t="s">
        <v>169</v>
      </c>
      <c r="F611" s="15" t="s">
        <v>170</v>
      </c>
      <c r="G611" s="17" t="str">
        <f t="shared" si="9"/>
        <v>Small</v>
      </c>
      <c r="H611" s="3">
        <v>4716</v>
      </c>
      <c r="I611" s="4">
        <v>64.5</v>
      </c>
      <c r="J611" s="5">
        <v>67337.723282442748</v>
      </c>
      <c r="K611" s="6">
        <v>6.8260519179929131E-3</v>
      </c>
      <c r="L611" s="5">
        <v>541.78116200169632</v>
      </c>
      <c r="M611" s="5">
        <v>1465.1075063613232</v>
      </c>
      <c r="N611" s="11">
        <v>1820.9059541984734</v>
      </c>
      <c r="O611" s="13">
        <v>2024</v>
      </c>
    </row>
    <row r="612" spans="1:15" ht="14.5" customHeight="1" x14ac:dyDescent="0.35">
      <c r="A612" s="20" t="s">
        <v>1252</v>
      </c>
      <c r="B612" s="15" t="s">
        <v>1253</v>
      </c>
      <c r="C612" s="15" t="s">
        <v>3108</v>
      </c>
      <c r="D612" s="16" t="s">
        <v>69</v>
      </c>
      <c r="E612" s="15" t="s">
        <v>173</v>
      </c>
      <c r="F612" s="15" t="s">
        <v>170</v>
      </c>
      <c r="G612" s="17" t="str">
        <f t="shared" si="9"/>
        <v>Small</v>
      </c>
      <c r="H612" s="3">
        <v>1735</v>
      </c>
      <c r="I612" s="4">
        <v>39.1</v>
      </c>
      <c r="J612" s="5">
        <v>85097.062247838621</v>
      </c>
      <c r="K612" s="6" t="s">
        <v>27</v>
      </c>
      <c r="L612" s="5">
        <v>0</v>
      </c>
      <c r="M612" s="5">
        <v>0</v>
      </c>
      <c r="N612" s="11">
        <v>0</v>
      </c>
      <c r="O612" s="13">
        <v>2024</v>
      </c>
    </row>
    <row r="613" spans="1:15" ht="14.5" customHeight="1" x14ac:dyDescent="0.35">
      <c r="A613" s="20" t="s">
        <v>1254</v>
      </c>
      <c r="B613" s="15" t="s">
        <v>1255</v>
      </c>
      <c r="C613" s="15" t="s">
        <v>3108</v>
      </c>
      <c r="D613" s="16" t="s">
        <v>63</v>
      </c>
      <c r="E613" s="15" t="s">
        <v>169</v>
      </c>
      <c r="F613" s="15" t="s">
        <v>170</v>
      </c>
      <c r="G613" s="17" t="str">
        <f t="shared" si="9"/>
        <v>Small</v>
      </c>
      <c r="H613" s="3">
        <v>2082</v>
      </c>
      <c r="I613" s="4">
        <v>45.7</v>
      </c>
      <c r="J613" s="5">
        <v>119252.91306436119</v>
      </c>
      <c r="K613" s="6">
        <v>3.1371180886737766E-3</v>
      </c>
      <c r="L613" s="5">
        <v>767.18059558117193</v>
      </c>
      <c r="M613" s="5">
        <v>463.21853986551395</v>
      </c>
      <c r="N613" s="11">
        <v>1650.4226705091257</v>
      </c>
      <c r="O613" s="13">
        <v>2024</v>
      </c>
    </row>
    <row r="614" spans="1:15" ht="14.5" customHeight="1" x14ac:dyDescent="0.35">
      <c r="A614" s="20" t="s">
        <v>1256</v>
      </c>
      <c r="B614" s="15" t="s">
        <v>1257</v>
      </c>
      <c r="C614" s="15" t="s">
        <v>3108</v>
      </c>
      <c r="D614" s="16" t="s">
        <v>53</v>
      </c>
      <c r="E614" s="15" t="s">
        <v>207</v>
      </c>
      <c r="F614" s="15" t="s">
        <v>208</v>
      </c>
      <c r="G614" s="17" t="str">
        <f t="shared" si="9"/>
        <v>Small</v>
      </c>
      <c r="H614" s="3">
        <v>6537</v>
      </c>
      <c r="I614" s="4">
        <v>25.1</v>
      </c>
      <c r="J614" s="5">
        <v>110906.92856050176</v>
      </c>
      <c r="K614" s="6">
        <v>3.4905350547218715E-3</v>
      </c>
      <c r="L614" s="5">
        <v>617.71837234205293</v>
      </c>
      <c r="M614" s="5">
        <v>139.97246443322626</v>
      </c>
      <c r="N614" s="11">
        <v>729.08046504512777</v>
      </c>
      <c r="O614" s="13">
        <v>2024</v>
      </c>
    </row>
    <row r="615" spans="1:15" ht="14.5" customHeight="1" x14ac:dyDescent="0.35">
      <c r="A615" s="20" t="s">
        <v>1258</v>
      </c>
      <c r="B615" s="15" t="s">
        <v>1259</v>
      </c>
      <c r="C615" s="15" t="s">
        <v>3108</v>
      </c>
      <c r="D615" s="16" t="s">
        <v>55</v>
      </c>
      <c r="E615" s="15" t="s">
        <v>207</v>
      </c>
      <c r="F615" s="15" t="s">
        <v>208</v>
      </c>
      <c r="G615" s="17" t="str">
        <f t="shared" si="9"/>
        <v>Medium</v>
      </c>
      <c r="H615" s="3">
        <v>10959</v>
      </c>
      <c r="I615" s="4">
        <v>3</v>
      </c>
      <c r="J615" s="5">
        <v>192642.87015238617</v>
      </c>
      <c r="K615" s="6">
        <v>0</v>
      </c>
      <c r="L615" s="5">
        <v>0</v>
      </c>
      <c r="M615" s="5">
        <v>0</v>
      </c>
      <c r="N615" s="11">
        <v>102.9629181494662</v>
      </c>
      <c r="O615" s="13">
        <v>2024</v>
      </c>
    </row>
    <row r="616" spans="1:15" ht="14.5" customHeight="1" x14ac:dyDescent="0.35">
      <c r="A616" s="20" t="s">
        <v>1260</v>
      </c>
      <c r="B616" s="15" t="s">
        <v>1261</v>
      </c>
      <c r="C616" s="15" t="s">
        <v>3108</v>
      </c>
      <c r="D616" s="16" t="s">
        <v>269</v>
      </c>
      <c r="E616" s="15" t="s">
        <v>178</v>
      </c>
      <c r="F616" s="15" t="s">
        <v>170</v>
      </c>
      <c r="G616" s="17" t="str">
        <f t="shared" si="9"/>
        <v>Small</v>
      </c>
      <c r="H616" s="3">
        <v>4435</v>
      </c>
      <c r="I616" s="4">
        <v>50.2</v>
      </c>
      <c r="J616" s="5">
        <v>49826.113866967309</v>
      </c>
      <c r="K616" s="6">
        <v>3.8492151385643007E-3</v>
      </c>
      <c r="L616" s="5">
        <v>217.14859075535512</v>
      </c>
      <c r="M616" s="5">
        <v>97.576099210823003</v>
      </c>
      <c r="N616" s="11">
        <v>510.51724915445322</v>
      </c>
      <c r="O616" s="13">
        <v>2024</v>
      </c>
    </row>
    <row r="617" spans="1:15" ht="14.5" customHeight="1" x14ac:dyDescent="0.35">
      <c r="A617" s="20" t="s">
        <v>1262</v>
      </c>
      <c r="B617" s="15" t="s">
        <v>1263</v>
      </c>
      <c r="C617" s="15" t="s">
        <v>3108</v>
      </c>
      <c r="D617" s="16" t="s">
        <v>55</v>
      </c>
      <c r="E617" s="15" t="s">
        <v>207</v>
      </c>
      <c r="F617" s="15" t="s">
        <v>208</v>
      </c>
      <c r="G617" s="17" t="str">
        <f t="shared" si="9"/>
        <v>Medium</v>
      </c>
      <c r="H617" s="3">
        <v>44436</v>
      </c>
      <c r="I617" s="4">
        <v>27.4</v>
      </c>
      <c r="J617" s="5">
        <v>286525.2502025385</v>
      </c>
      <c r="K617" s="6">
        <v>2.5122582087247752E-3</v>
      </c>
      <c r="L617" s="5">
        <v>916.58776667566838</v>
      </c>
      <c r="M617" s="5">
        <v>1532.5598613736611</v>
      </c>
      <c r="N617" s="11">
        <v>1721.3561526690071</v>
      </c>
      <c r="O617" s="13">
        <v>2024</v>
      </c>
    </row>
    <row r="618" spans="1:15" ht="14.5" customHeight="1" x14ac:dyDescent="0.35">
      <c r="A618" s="20" t="s">
        <v>1264</v>
      </c>
      <c r="B618" s="15" t="s">
        <v>1265</v>
      </c>
      <c r="C618" s="15" t="s">
        <v>3108</v>
      </c>
      <c r="D618" s="16" t="s">
        <v>181</v>
      </c>
      <c r="E618" s="15" t="s">
        <v>178</v>
      </c>
      <c r="F618" s="15" t="s">
        <v>170</v>
      </c>
      <c r="G618" s="17" t="str">
        <f t="shared" si="9"/>
        <v>Small</v>
      </c>
      <c r="H618" s="3">
        <v>4796</v>
      </c>
      <c r="I618" s="4">
        <v>31.1</v>
      </c>
      <c r="J618" s="5">
        <v>59211.512510425353</v>
      </c>
      <c r="K618" s="6">
        <v>3.8308439880222729E-3</v>
      </c>
      <c r="L618" s="5">
        <v>259.43579858215179</v>
      </c>
      <c r="M618" s="5">
        <v>699.06171809841533</v>
      </c>
      <c r="N618" s="11">
        <v>410.02557130942449</v>
      </c>
      <c r="O618" s="13">
        <v>2024</v>
      </c>
    </row>
    <row r="619" spans="1:15" ht="14.5" customHeight="1" x14ac:dyDescent="0.35">
      <c r="A619" s="20" t="s">
        <v>1266</v>
      </c>
      <c r="B619" s="15" t="s">
        <v>1267</v>
      </c>
      <c r="C619" s="15" t="s">
        <v>3108</v>
      </c>
      <c r="D619" s="16" t="s">
        <v>11</v>
      </c>
      <c r="E619" s="15" t="s">
        <v>173</v>
      </c>
      <c r="F619" s="15" t="s">
        <v>170</v>
      </c>
      <c r="G619" s="17" t="str">
        <f t="shared" si="9"/>
        <v>Small</v>
      </c>
      <c r="H619" s="3">
        <v>1581</v>
      </c>
      <c r="I619" s="4">
        <v>24.3</v>
      </c>
      <c r="J619" s="5">
        <v>65141.931056293484</v>
      </c>
      <c r="K619" s="6">
        <v>2.8849114587945965E-3</v>
      </c>
      <c r="L619" s="5">
        <v>538.3309803921569</v>
      </c>
      <c r="M619" s="5">
        <v>0</v>
      </c>
      <c r="N619" s="11">
        <v>852.32143580012644</v>
      </c>
      <c r="O619" s="13">
        <v>2024</v>
      </c>
    </row>
    <row r="620" spans="1:15" ht="14.5" customHeight="1" x14ac:dyDescent="0.35">
      <c r="A620" s="20" t="s">
        <v>1268</v>
      </c>
      <c r="B620" s="15" t="s">
        <v>1269</v>
      </c>
      <c r="C620" s="15" t="s">
        <v>3108</v>
      </c>
      <c r="D620" s="16" t="s">
        <v>15</v>
      </c>
      <c r="E620" s="15" t="s">
        <v>178</v>
      </c>
      <c r="F620" s="15" t="s">
        <v>170</v>
      </c>
      <c r="G620" s="17" t="str">
        <f t="shared" si="9"/>
        <v>Small</v>
      </c>
      <c r="H620" s="3">
        <v>2403</v>
      </c>
      <c r="I620" s="4">
        <v>39.700000000000003</v>
      </c>
      <c r="J620" s="5">
        <v>101650.9542238868</v>
      </c>
      <c r="K620" s="6">
        <v>4.5314447668286005E-3</v>
      </c>
      <c r="L620" s="5">
        <v>769.91178942987938</v>
      </c>
      <c r="M620" s="5">
        <v>305.8676654182272</v>
      </c>
      <c r="N620" s="11">
        <v>1045.3259508947149</v>
      </c>
      <c r="O620" s="13">
        <v>2024</v>
      </c>
    </row>
    <row r="621" spans="1:15" ht="14.5" customHeight="1" x14ac:dyDescent="0.35">
      <c r="A621" s="20" t="s">
        <v>1270</v>
      </c>
      <c r="B621" s="15" t="s">
        <v>1271</v>
      </c>
      <c r="C621" s="15" t="s">
        <v>3108</v>
      </c>
      <c r="D621" s="16" t="s">
        <v>65</v>
      </c>
      <c r="E621" s="15" t="s">
        <v>186</v>
      </c>
      <c r="F621" s="15" t="s">
        <v>170</v>
      </c>
      <c r="G621" s="17" t="str">
        <f t="shared" si="9"/>
        <v>Small</v>
      </c>
      <c r="H621" s="3">
        <v>1171</v>
      </c>
      <c r="I621" s="4">
        <v>36.4</v>
      </c>
      <c r="J621" s="5">
        <v>79693.350128095641</v>
      </c>
      <c r="K621" s="6">
        <v>4.6128674287616543E-3</v>
      </c>
      <c r="L621" s="5">
        <v>583.36464560204956</v>
      </c>
      <c r="M621" s="5">
        <v>170.79419299743807</v>
      </c>
      <c r="N621" s="11">
        <v>986.72245943637915</v>
      </c>
      <c r="O621" s="13">
        <v>2024</v>
      </c>
    </row>
    <row r="622" spans="1:15" ht="14.5" customHeight="1" x14ac:dyDescent="0.35">
      <c r="A622" s="20" t="s">
        <v>1272</v>
      </c>
      <c r="B622" s="15" t="s">
        <v>30</v>
      </c>
      <c r="C622" s="15" t="s">
        <v>3108</v>
      </c>
      <c r="D622" s="16" t="s">
        <v>77</v>
      </c>
      <c r="E622" s="15" t="s">
        <v>217</v>
      </c>
      <c r="F622" s="15" t="s">
        <v>170</v>
      </c>
      <c r="G622" s="17" t="str">
        <f t="shared" si="9"/>
        <v>Small</v>
      </c>
      <c r="H622" s="3">
        <v>4545</v>
      </c>
      <c r="I622" s="4">
        <v>44.4</v>
      </c>
      <c r="J622" s="5">
        <v>106505.57777777778</v>
      </c>
      <c r="K622" s="6">
        <v>2.5311699536931234E-3</v>
      </c>
      <c r="L622" s="5">
        <v>386.06953575357539</v>
      </c>
      <c r="M622" s="5">
        <v>649.8516677667767</v>
      </c>
      <c r="N622" s="11">
        <v>594.25305830583056</v>
      </c>
      <c r="O622" s="13">
        <v>2024</v>
      </c>
    </row>
    <row r="623" spans="1:15" ht="14.5" customHeight="1" x14ac:dyDescent="0.35">
      <c r="A623" s="20" t="s">
        <v>1273</v>
      </c>
      <c r="B623" s="15" t="s">
        <v>1274</v>
      </c>
      <c r="C623" s="15" t="s">
        <v>3108</v>
      </c>
      <c r="D623" s="16" t="s">
        <v>67</v>
      </c>
      <c r="E623" s="15" t="s">
        <v>183</v>
      </c>
      <c r="F623" s="15" t="s">
        <v>170</v>
      </c>
      <c r="G623" s="17" t="str">
        <f t="shared" si="9"/>
        <v>Small</v>
      </c>
      <c r="H623" s="3">
        <v>1890</v>
      </c>
      <c r="I623" s="4">
        <v>43.1</v>
      </c>
      <c r="J623" s="5">
        <v>158536.13968253968</v>
      </c>
      <c r="K623" s="6" t="s">
        <v>27</v>
      </c>
      <c r="L623" s="5">
        <v>0</v>
      </c>
      <c r="M623" s="5">
        <v>0</v>
      </c>
      <c r="N623" s="11">
        <v>0</v>
      </c>
      <c r="O623" s="13">
        <v>2024</v>
      </c>
    </row>
    <row r="624" spans="1:15" ht="14.5" customHeight="1" x14ac:dyDescent="0.35">
      <c r="A624" s="20" t="s">
        <v>1275</v>
      </c>
      <c r="B624" s="15" t="s">
        <v>1276</v>
      </c>
      <c r="C624" s="15" t="s">
        <v>3108</v>
      </c>
      <c r="D624" s="16" t="s">
        <v>324</v>
      </c>
      <c r="E624" s="15" t="s">
        <v>207</v>
      </c>
      <c r="F624" s="15" t="s">
        <v>208</v>
      </c>
      <c r="G624" s="17" t="str">
        <f t="shared" si="9"/>
        <v>Small</v>
      </c>
      <c r="H624" s="3">
        <v>3366</v>
      </c>
      <c r="I624" s="4">
        <v>82.8</v>
      </c>
      <c r="J624" s="5">
        <v>327558.43850267382</v>
      </c>
      <c r="K624" s="6">
        <v>4.095129536623195E-3</v>
      </c>
      <c r="L624" s="5">
        <v>1365.9919786096257</v>
      </c>
      <c r="M624" s="5">
        <v>0</v>
      </c>
      <c r="N624" s="11">
        <v>1713.5142602495544</v>
      </c>
      <c r="O624" s="13">
        <v>2024</v>
      </c>
    </row>
    <row r="625" spans="1:15" ht="14.5" customHeight="1" x14ac:dyDescent="0.35">
      <c r="A625" s="20" t="s">
        <v>1277</v>
      </c>
      <c r="B625" s="15" t="s">
        <v>1278</v>
      </c>
      <c r="C625" s="15" t="s">
        <v>3108</v>
      </c>
      <c r="D625" s="16" t="s">
        <v>65</v>
      </c>
      <c r="E625" s="15" t="s">
        <v>186</v>
      </c>
      <c r="F625" s="15" t="s">
        <v>170</v>
      </c>
      <c r="G625" s="17" t="str">
        <f t="shared" si="9"/>
        <v>Small</v>
      </c>
      <c r="H625" s="3">
        <v>1981</v>
      </c>
      <c r="I625" s="4">
        <v>35.6</v>
      </c>
      <c r="J625" s="5">
        <v>71523.617364967184</v>
      </c>
      <c r="K625" s="6">
        <v>4.1712471558869729E-3</v>
      </c>
      <c r="L625" s="5">
        <v>430.76465421504292</v>
      </c>
      <c r="M625" s="5">
        <v>50.923705199394249</v>
      </c>
      <c r="N625" s="11">
        <v>521.28456335184251</v>
      </c>
      <c r="O625" s="13">
        <v>2024</v>
      </c>
    </row>
    <row r="626" spans="1:15" ht="14.5" customHeight="1" x14ac:dyDescent="0.35">
      <c r="A626" s="20" t="s">
        <v>1279</v>
      </c>
      <c r="B626" s="15" t="s">
        <v>1280</v>
      </c>
      <c r="C626" s="15" t="s">
        <v>3108</v>
      </c>
      <c r="D626" s="16" t="s">
        <v>248</v>
      </c>
      <c r="E626" s="15" t="s">
        <v>217</v>
      </c>
      <c r="F626" s="15" t="s">
        <v>170</v>
      </c>
      <c r="G626" s="17" t="str">
        <f t="shared" si="9"/>
        <v>Small</v>
      </c>
      <c r="H626" s="3">
        <v>3226</v>
      </c>
      <c r="I626" s="4">
        <v>41.4</v>
      </c>
      <c r="J626" s="5">
        <v>148561.83911965281</v>
      </c>
      <c r="K626" s="6">
        <v>2.429413684219534E-3</v>
      </c>
      <c r="L626" s="5">
        <v>397.28574085554862</v>
      </c>
      <c r="M626" s="5">
        <v>605.03704897706143</v>
      </c>
      <c r="N626" s="11">
        <v>699.53311221326715</v>
      </c>
      <c r="O626" s="13">
        <v>2024</v>
      </c>
    </row>
    <row r="627" spans="1:15" ht="14.5" customHeight="1" x14ac:dyDescent="0.35">
      <c r="A627" s="20" t="s">
        <v>1281</v>
      </c>
      <c r="B627" s="15" t="s">
        <v>1282</v>
      </c>
      <c r="C627" s="15" t="s">
        <v>3108</v>
      </c>
      <c r="D627" s="16" t="s">
        <v>61</v>
      </c>
      <c r="E627" s="15" t="s">
        <v>173</v>
      </c>
      <c r="F627" s="15" t="s">
        <v>170</v>
      </c>
      <c r="G627" s="17" t="str">
        <f t="shared" si="9"/>
        <v>Small</v>
      </c>
      <c r="H627" s="3">
        <v>2525</v>
      </c>
      <c r="I627" s="4">
        <v>46.1</v>
      </c>
      <c r="J627" s="5">
        <v>72060.477623762374</v>
      </c>
      <c r="K627" s="6">
        <v>6.0266706888107511E-3</v>
      </c>
      <c r="L627" s="5">
        <v>596.57708910891097</v>
      </c>
      <c r="M627" s="5">
        <v>306.95049504950492</v>
      </c>
      <c r="N627" s="11">
        <v>741.57772277227718</v>
      </c>
      <c r="O627" s="13">
        <v>2024</v>
      </c>
    </row>
    <row r="628" spans="1:15" ht="14.5" customHeight="1" x14ac:dyDescent="0.35">
      <c r="A628" s="20" t="s">
        <v>1283</v>
      </c>
      <c r="B628" s="15" t="s">
        <v>1284</v>
      </c>
      <c r="C628" s="15" t="s">
        <v>3108</v>
      </c>
      <c r="D628" s="16" t="s">
        <v>597</v>
      </c>
      <c r="E628" s="15" t="s">
        <v>169</v>
      </c>
      <c r="F628" s="15" t="s">
        <v>170</v>
      </c>
      <c r="G628" s="17" t="str">
        <f t="shared" si="9"/>
        <v>Small</v>
      </c>
      <c r="H628" s="3">
        <v>2785</v>
      </c>
      <c r="I628" s="4">
        <v>55.6</v>
      </c>
      <c r="J628" s="5">
        <v>77304.975224416514</v>
      </c>
      <c r="K628" s="6">
        <v>5.3293408211778671E-3</v>
      </c>
      <c r="L628" s="5">
        <v>416.87382405745058</v>
      </c>
      <c r="M628" s="5">
        <v>12.119346499102333</v>
      </c>
      <c r="N628" s="11">
        <v>621.69732495511676</v>
      </c>
      <c r="O628" s="13">
        <v>2024</v>
      </c>
    </row>
    <row r="629" spans="1:15" ht="14.5" customHeight="1" x14ac:dyDescent="0.35">
      <c r="A629" s="20" t="s">
        <v>1285</v>
      </c>
      <c r="B629" s="15" t="s">
        <v>1286</v>
      </c>
      <c r="C629" s="15" t="s">
        <v>3108</v>
      </c>
      <c r="D629" s="16" t="s">
        <v>55</v>
      </c>
      <c r="E629" s="15" t="s">
        <v>207</v>
      </c>
      <c r="F629" s="15" t="s">
        <v>208</v>
      </c>
      <c r="G629" s="17" t="str">
        <f t="shared" si="9"/>
        <v>Medium</v>
      </c>
      <c r="H629" s="3">
        <v>18311</v>
      </c>
      <c r="I629" s="4">
        <v>23.2</v>
      </c>
      <c r="J629" s="5">
        <v>395424.58008847141</v>
      </c>
      <c r="K629" s="6">
        <v>3.2875652485296202E-3</v>
      </c>
      <c r="L629" s="5">
        <v>1608.2893342799409</v>
      </c>
      <c r="M629" s="5">
        <v>718.69368139369783</v>
      </c>
      <c r="N629" s="11">
        <v>2865.9825787777841</v>
      </c>
      <c r="O629" s="13">
        <v>2024</v>
      </c>
    </row>
    <row r="630" spans="1:15" ht="14.5" customHeight="1" x14ac:dyDescent="0.35">
      <c r="A630" s="20" t="s">
        <v>1287</v>
      </c>
      <c r="B630" s="15" t="s">
        <v>1288</v>
      </c>
      <c r="C630" s="15" t="s">
        <v>3108</v>
      </c>
      <c r="D630" s="16" t="s">
        <v>81</v>
      </c>
      <c r="E630" s="15" t="s">
        <v>214</v>
      </c>
      <c r="F630" s="15" t="s">
        <v>170</v>
      </c>
      <c r="G630" s="17" t="str">
        <f t="shared" si="9"/>
        <v>Medium</v>
      </c>
      <c r="H630" s="3">
        <v>21874</v>
      </c>
      <c r="I630" s="4">
        <v>25.4</v>
      </c>
      <c r="J630" s="5">
        <v>106154.92132211759</v>
      </c>
      <c r="K630" s="6" t="s">
        <v>27</v>
      </c>
      <c r="L630" s="5">
        <v>0</v>
      </c>
      <c r="M630" s="5">
        <v>0</v>
      </c>
      <c r="N630" s="11">
        <v>0</v>
      </c>
      <c r="O630" s="13">
        <v>2024</v>
      </c>
    </row>
    <row r="631" spans="1:15" ht="14.5" customHeight="1" x14ac:dyDescent="0.35">
      <c r="A631" s="20" t="s">
        <v>1289</v>
      </c>
      <c r="B631" s="15" t="s">
        <v>1290</v>
      </c>
      <c r="C631" s="15" t="s">
        <v>3108</v>
      </c>
      <c r="D631" s="16" t="s">
        <v>26</v>
      </c>
      <c r="E631" s="15" t="s">
        <v>183</v>
      </c>
      <c r="F631" s="15" t="s">
        <v>170</v>
      </c>
      <c r="G631" s="17" t="str">
        <f t="shared" si="9"/>
        <v>Small</v>
      </c>
      <c r="H631" s="3">
        <v>2931</v>
      </c>
      <c r="I631" s="4">
        <v>31.1</v>
      </c>
      <c r="J631" s="5">
        <v>71420.506653019445</v>
      </c>
      <c r="K631" s="6">
        <v>9.5282835874744461E-3</v>
      </c>
      <c r="L631" s="5">
        <v>767.83555100648243</v>
      </c>
      <c r="M631" s="5">
        <v>3744.2664619583761</v>
      </c>
      <c r="N631" s="11">
        <v>1015.388945752303</v>
      </c>
      <c r="O631" s="13">
        <v>2024</v>
      </c>
    </row>
    <row r="632" spans="1:15" ht="14.5" customHeight="1" x14ac:dyDescent="0.35">
      <c r="A632" s="20" t="s">
        <v>1291</v>
      </c>
      <c r="B632" s="15" t="s">
        <v>1292</v>
      </c>
      <c r="C632" s="15" t="s">
        <v>3108</v>
      </c>
      <c r="D632" s="16" t="s">
        <v>193</v>
      </c>
      <c r="E632" s="15" t="s">
        <v>186</v>
      </c>
      <c r="F632" s="15" t="s">
        <v>170</v>
      </c>
      <c r="G632" s="17" t="str">
        <f t="shared" si="9"/>
        <v>Small</v>
      </c>
      <c r="H632" s="3">
        <v>792</v>
      </c>
      <c r="I632" s="4">
        <v>36.200000000000003</v>
      </c>
      <c r="J632" s="5">
        <v>77545.57575757576</v>
      </c>
      <c r="K632" s="6" t="s">
        <v>27</v>
      </c>
      <c r="L632" s="5">
        <v>0</v>
      </c>
      <c r="M632" s="5">
        <v>0</v>
      </c>
      <c r="N632" s="11">
        <v>0</v>
      </c>
      <c r="O632" s="13">
        <v>2024</v>
      </c>
    </row>
    <row r="633" spans="1:15" ht="14.5" customHeight="1" x14ac:dyDescent="0.35">
      <c r="A633" s="20" t="s">
        <v>1293</v>
      </c>
      <c r="B633" s="15" t="s">
        <v>1294</v>
      </c>
      <c r="C633" s="15" t="s">
        <v>3108</v>
      </c>
      <c r="D633" s="16" t="s">
        <v>37</v>
      </c>
      <c r="E633" s="15" t="s">
        <v>217</v>
      </c>
      <c r="F633" s="15" t="s">
        <v>170</v>
      </c>
      <c r="G633" s="17" t="str">
        <f t="shared" si="9"/>
        <v>Small</v>
      </c>
      <c r="H633" s="3">
        <v>2514</v>
      </c>
      <c r="I633" s="4">
        <v>35.9</v>
      </c>
      <c r="J633" s="5">
        <v>163319.49124900557</v>
      </c>
      <c r="K633" s="6">
        <v>2.5658450363874657E-3</v>
      </c>
      <c r="L633" s="5">
        <v>719.36131662688945</v>
      </c>
      <c r="M633" s="5">
        <v>90.285186953062848</v>
      </c>
      <c r="N633" s="11">
        <v>1416.9030389817026</v>
      </c>
      <c r="O633" s="13">
        <v>2024</v>
      </c>
    </row>
    <row r="634" spans="1:15" ht="14.5" customHeight="1" x14ac:dyDescent="0.35">
      <c r="A634" s="20" t="s">
        <v>1295</v>
      </c>
      <c r="B634" s="15" t="s">
        <v>1296</v>
      </c>
      <c r="C634" s="15" t="s">
        <v>3108</v>
      </c>
      <c r="D634" s="16" t="s">
        <v>69</v>
      </c>
      <c r="E634" s="15" t="s">
        <v>173</v>
      </c>
      <c r="F634" s="15" t="s">
        <v>170</v>
      </c>
      <c r="G634" s="17" t="str">
        <f t="shared" si="9"/>
        <v>Small</v>
      </c>
      <c r="H634" s="3">
        <v>1084</v>
      </c>
      <c r="I634" s="4">
        <v>44.4</v>
      </c>
      <c r="J634" s="5">
        <v>121396.90405904059</v>
      </c>
      <c r="K634" s="6">
        <v>5.9364602603743065E-3</v>
      </c>
      <c r="L634" s="5">
        <v>870.28085793357934</v>
      </c>
      <c r="M634" s="5">
        <v>2006.8265682656827</v>
      </c>
      <c r="N634" s="11">
        <v>4120.5302029520299</v>
      </c>
      <c r="O634" s="13">
        <v>2024</v>
      </c>
    </row>
    <row r="635" spans="1:15" ht="14.5" customHeight="1" x14ac:dyDescent="0.35">
      <c r="A635" s="20" t="s">
        <v>1297</v>
      </c>
      <c r="B635" s="15" t="s">
        <v>1298</v>
      </c>
      <c r="C635" s="15" t="s">
        <v>3108</v>
      </c>
      <c r="D635" s="16" t="s">
        <v>43</v>
      </c>
      <c r="E635" s="15" t="s">
        <v>207</v>
      </c>
      <c r="F635" s="15" t="s">
        <v>208</v>
      </c>
      <c r="G635" s="17" t="str">
        <f t="shared" si="9"/>
        <v>Medium</v>
      </c>
      <c r="H635" s="3">
        <v>14407</v>
      </c>
      <c r="I635" s="4">
        <v>33.9</v>
      </c>
      <c r="J635" s="5">
        <v>124241.1441660304</v>
      </c>
      <c r="K635" s="6">
        <v>6.7896366957697976E-3</v>
      </c>
      <c r="L635" s="5">
        <v>935.86055389741102</v>
      </c>
      <c r="M635" s="5">
        <v>1460.0279031026585</v>
      </c>
      <c r="N635" s="11">
        <v>1492.0769070590686</v>
      </c>
      <c r="O635" s="13">
        <v>2024</v>
      </c>
    </row>
    <row r="636" spans="1:15" ht="14.5" customHeight="1" x14ac:dyDescent="0.35">
      <c r="A636" s="20" t="s">
        <v>1299</v>
      </c>
      <c r="B636" s="15" t="s">
        <v>1300</v>
      </c>
      <c r="C636" s="15" t="s">
        <v>3108</v>
      </c>
      <c r="D636" s="16" t="s">
        <v>1</v>
      </c>
      <c r="E636" s="15" t="s">
        <v>217</v>
      </c>
      <c r="F636" s="15" t="s">
        <v>170</v>
      </c>
      <c r="G636" s="17" t="str">
        <f t="shared" si="9"/>
        <v>Small</v>
      </c>
      <c r="H636" s="3">
        <v>9096</v>
      </c>
      <c r="I636" s="4">
        <v>57.5</v>
      </c>
      <c r="J636" s="5">
        <v>158596.35048372913</v>
      </c>
      <c r="K636" s="6">
        <v>1.835236794994243E-3</v>
      </c>
      <c r="L636" s="5">
        <v>647.50898526824972</v>
      </c>
      <c r="M636" s="5">
        <v>317.53847845206684</v>
      </c>
      <c r="N636" s="11">
        <v>938.23474824098503</v>
      </c>
      <c r="O636" s="13">
        <v>2024</v>
      </c>
    </row>
    <row r="637" spans="1:15" ht="14.5" customHeight="1" x14ac:dyDescent="0.35">
      <c r="A637" s="20" t="s">
        <v>1301</v>
      </c>
      <c r="B637" s="15" t="s">
        <v>1302</v>
      </c>
      <c r="C637" s="15" t="s">
        <v>3108</v>
      </c>
      <c r="D637" s="16" t="s">
        <v>53</v>
      </c>
      <c r="E637" s="15" t="s">
        <v>207</v>
      </c>
      <c r="F637" s="15" t="s">
        <v>208</v>
      </c>
      <c r="G637" s="17" t="str">
        <f t="shared" si="9"/>
        <v>Medium</v>
      </c>
      <c r="H637" s="3">
        <v>27805</v>
      </c>
      <c r="I637" s="4">
        <v>34.1</v>
      </c>
      <c r="J637" s="5">
        <v>133739.60471138285</v>
      </c>
      <c r="K637" s="6">
        <v>4.8853624645744465E-3</v>
      </c>
      <c r="L637" s="5">
        <v>893.12627225319193</v>
      </c>
      <c r="M637" s="5">
        <v>1487.2790505304802</v>
      </c>
      <c r="N637" s="11">
        <v>1948.2436252472578</v>
      </c>
      <c r="O637" s="13">
        <v>2024</v>
      </c>
    </row>
    <row r="638" spans="1:15" ht="14.5" customHeight="1" x14ac:dyDescent="0.35">
      <c r="A638" s="20" t="s">
        <v>1303</v>
      </c>
      <c r="B638" s="15" t="s">
        <v>1304</v>
      </c>
      <c r="C638" s="15" t="s">
        <v>3108</v>
      </c>
      <c r="D638" s="16" t="s">
        <v>292</v>
      </c>
      <c r="E638" s="15" t="s">
        <v>173</v>
      </c>
      <c r="F638" s="15" t="s">
        <v>170</v>
      </c>
      <c r="G638" s="17" t="str">
        <f t="shared" si="9"/>
        <v>Small</v>
      </c>
      <c r="H638" s="3">
        <v>3642</v>
      </c>
      <c r="I638" s="4">
        <v>50.3</v>
      </c>
      <c r="J638" s="5">
        <v>65031.95991213619</v>
      </c>
      <c r="K638" s="6">
        <v>3.3931569438518543E-3</v>
      </c>
      <c r="L638" s="5">
        <v>353.87523887973646</v>
      </c>
      <c r="M638" s="5">
        <v>0</v>
      </c>
      <c r="N638" s="11">
        <v>421.98953596924764</v>
      </c>
      <c r="O638" s="13">
        <v>2024</v>
      </c>
    </row>
    <row r="639" spans="1:15" ht="14.5" customHeight="1" x14ac:dyDescent="0.35">
      <c r="A639" s="20" t="s">
        <v>1305</v>
      </c>
      <c r="B639" s="15" t="s">
        <v>127</v>
      </c>
      <c r="C639" s="15" t="s">
        <v>3108</v>
      </c>
      <c r="D639" s="16" t="s">
        <v>53</v>
      </c>
      <c r="E639" s="15" t="s">
        <v>207</v>
      </c>
      <c r="F639" s="15" t="s">
        <v>208</v>
      </c>
      <c r="G639" s="17" t="str">
        <f t="shared" si="9"/>
        <v>Medium</v>
      </c>
      <c r="H639" s="3">
        <v>31985</v>
      </c>
      <c r="I639" s="4">
        <v>42.7</v>
      </c>
      <c r="J639" s="5">
        <v>156608.39324683446</v>
      </c>
      <c r="K639" s="6">
        <v>4.2041638608491735E-3</v>
      </c>
      <c r="L639" s="5">
        <v>938.50145380647177</v>
      </c>
      <c r="M639" s="5">
        <v>401.59449742066596</v>
      </c>
      <c r="N639" s="11">
        <v>1799.1957792715336</v>
      </c>
      <c r="O639" s="13">
        <v>2024</v>
      </c>
    </row>
    <row r="640" spans="1:15" ht="14.5" customHeight="1" x14ac:dyDescent="0.35">
      <c r="A640" s="20" t="s">
        <v>1306</v>
      </c>
      <c r="B640" s="15" t="s">
        <v>1307</v>
      </c>
      <c r="C640" s="15" t="s">
        <v>3108</v>
      </c>
      <c r="D640" s="16" t="s">
        <v>496</v>
      </c>
      <c r="E640" s="15" t="s">
        <v>169</v>
      </c>
      <c r="F640" s="15" t="s">
        <v>170</v>
      </c>
      <c r="G640" s="17" t="str">
        <f t="shared" ref="G640:G703" si="10">IF(H640&lt;=10000,"Small",(IF(H640&lt;=100000,"Medium",IF(H640&gt;100000,"Large"))))</f>
        <v>Small</v>
      </c>
      <c r="H640" s="3">
        <v>418</v>
      </c>
      <c r="I640" s="4">
        <v>226.3</v>
      </c>
      <c r="J640" s="5">
        <v>976816.51435406704</v>
      </c>
      <c r="K640" s="6">
        <v>1.157160996647681E-2</v>
      </c>
      <c r="L640" s="5">
        <v>11507.068062200957</v>
      </c>
      <c r="M640" s="5">
        <v>5299.235645933014</v>
      </c>
      <c r="N640" s="11">
        <v>21621.345909090909</v>
      </c>
      <c r="O640" s="13">
        <v>2024</v>
      </c>
    </row>
    <row r="641" spans="1:15" ht="14.5" customHeight="1" x14ac:dyDescent="0.35">
      <c r="A641" s="20" t="s">
        <v>1308</v>
      </c>
      <c r="B641" s="15" t="s">
        <v>1309</v>
      </c>
      <c r="C641" s="15" t="s">
        <v>3108</v>
      </c>
      <c r="D641" s="16" t="s">
        <v>48</v>
      </c>
      <c r="E641" s="15" t="s">
        <v>186</v>
      </c>
      <c r="F641" s="15" t="s">
        <v>170</v>
      </c>
      <c r="G641" s="17" t="str">
        <f t="shared" si="10"/>
        <v>Small</v>
      </c>
      <c r="H641" s="3">
        <v>9304</v>
      </c>
      <c r="I641" s="4">
        <v>51.8</v>
      </c>
      <c r="J641" s="5">
        <v>87201.417347377472</v>
      </c>
      <c r="K641" s="6">
        <v>2.0258935741131346E-3</v>
      </c>
      <c r="L641" s="5">
        <v>659.88660791057612</v>
      </c>
      <c r="M641" s="5">
        <v>892.01246775580398</v>
      </c>
      <c r="N641" s="11">
        <v>1562.6286543422184</v>
      </c>
      <c r="O641" s="13">
        <v>2024</v>
      </c>
    </row>
    <row r="642" spans="1:15" ht="14.5" customHeight="1" x14ac:dyDescent="0.35">
      <c r="A642" s="20" t="s">
        <v>1310</v>
      </c>
      <c r="B642" s="15" t="s">
        <v>1311</v>
      </c>
      <c r="C642" s="15" t="s">
        <v>3108</v>
      </c>
      <c r="D642" s="16" t="s">
        <v>39</v>
      </c>
      <c r="E642" s="15" t="s">
        <v>173</v>
      </c>
      <c r="F642" s="15" t="s">
        <v>170</v>
      </c>
      <c r="G642" s="17" t="str">
        <f t="shared" si="10"/>
        <v>Small</v>
      </c>
      <c r="H642" s="3">
        <v>5126</v>
      </c>
      <c r="I642" s="4">
        <v>58.8</v>
      </c>
      <c r="J642" s="5">
        <v>79149.134802965273</v>
      </c>
      <c r="K642" s="6">
        <v>6.7275099248933611E-3</v>
      </c>
      <c r="L642" s="5">
        <v>536.13558525165831</v>
      </c>
      <c r="M642" s="5">
        <v>604.45519898556381</v>
      </c>
      <c r="N642" s="11">
        <v>862.25583886071001</v>
      </c>
      <c r="O642" s="13">
        <v>2024</v>
      </c>
    </row>
    <row r="643" spans="1:15" ht="14.5" customHeight="1" x14ac:dyDescent="0.35">
      <c r="A643" s="20" t="s">
        <v>1312</v>
      </c>
      <c r="B643" s="15" t="s">
        <v>1313</v>
      </c>
      <c r="C643" s="15" t="s">
        <v>3108</v>
      </c>
      <c r="D643" s="16" t="s">
        <v>46</v>
      </c>
      <c r="E643" s="15" t="s">
        <v>214</v>
      </c>
      <c r="F643" s="15" t="s">
        <v>170</v>
      </c>
      <c r="G643" s="17" t="str">
        <f t="shared" si="10"/>
        <v>Small</v>
      </c>
      <c r="H643" s="3">
        <v>2140</v>
      </c>
      <c r="I643" s="4">
        <v>32</v>
      </c>
      <c r="J643" s="5">
        <v>88706.19813084112</v>
      </c>
      <c r="K643" s="6">
        <v>6.4888004960025978E-4</v>
      </c>
      <c r="L643" s="5">
        <v>176.88833177570095</v>
      </c>
      <c r="M643" s="5">
        <v>51.401869158878505</v>
      </c>
      <c r="N643" s="11">
        <v>467.38087383177566</v>
      </c>
      <c r="O643" s="13">
        <v>2024</v>
      </c>
    </row>
    <row r="644" spans="1:15" ht="14.5" customHeight="1" x14ac:dyDescent="0.35">
      <c r="A644" s="20" t="s">
        <v>1314</v>
      </c>
      <c r="B644" s="15" t="s">
        <v>1315</v>
      </c>
      <c r="C644" s="15" t="s">
        <v>3108</v>
      </c>
      <c r="D644" s="16" t="s">
        <v>13</v>
      </c>
      <c r="E644" s="15" t="s">
        <v>186</v>
      </c>
      <c r="F644" s="15" t="s">
        <v>170</v>
      </c>
      <c r="G644" s="17" t="str">
        <f t="shared" si="10"/>
        <v>Small</v>
      </c>
      <c r="H644" s="3">
        <v>8689</v>
      </c>
      <c r="I644" s="4">
        <v>50.8</v>
      </c>
      <c r="J644" s="5">
        <v>123184.30302681551</v>
      </c>
      <c r="K644" s="6">
        <v>2.8914285983677301E-3</v>
      </c>
      <c r="L644" s="5">
        <v>506.3395097249396</v>
      </c>
      <c r="M644" s="5">
        <v>799.19070088617798</v>
      </c>
      <c r="N644" s="11">
        <v>639.07526757969845</v>
      </c>
      <c r="O644" s="13">
        <v>2024</v>
      </c>
    </row>
    <row r="645" spans="1:15" ht="14.5" customHeight="1" x14ac:dyDescent="0.35">
      <c r="A645" s="20" t="s">
        <v>1316</v>
      </c>
      <c r="B645" s="15" t="s">
        <v>48</v>
      </c>
      <c r="C645" s="15" t="s">
        <v>3108</v>
      </c>
      <c r="D645" s="16" t="s">
        <v>48</v>
      </c>
      <c r="E645" s="15" t="s">
        <v>186</v>
      </c>
      <c r="F645" s="15" t="s">
        <v>170</v>
      </c>
      <c r="G645" s="17" t="str">
        <f t="shared" si="10"/>
        <v>Small</v>
      </c>
      <c r="H645" s="3">
        <v>7903</v>
      </c>
      <c r="I645" s="4">
        <v>9.5</v>
      </c>
      <c r="J645" s="5">
        <v>95403.076806276091</v>
      </c>
      <c r="K645" s="6">
        <v>3.8681552369880736E-3</v>
      </c>
      <c r="L645" s="5">
        <v>754.76401366569655</v>
      </c>
      <c r="M645" s="5">
        <v>494.11615842085286</v>
      </c>
      <c r="N645" s="11">
        <v>1546.3417689485007</v>
      </c>
      <c r="O645" s="13">
        <v>2024</v>
      </c>
    </row>
    <row r="646" spans="1:15" ht="14.5" customHeight="1" x14ac:dyDescent="0.35">
      <c r="A646" s="20" t="s">
        <v>1317</v>
      </c>
      <c r="B646" s="15" t="s">
        <v>1318</v>
      </c>
      <c r="C646" s="15" t="s">
        <v>3108</v>
      </c>
      <c r="D646" s="16" t="s">
        <v>292</v>
      </c>
      <c r="E646" s="15" t="s">
        <v>173</v>
      </c>
      <c r="F646" s="15" t="s">
        <v>170</v>
      </c>
      <c r="G646" s="17" t="str">
        <f t="shared" si="10"/>
        <v>Small</v>
      </c>
      <c r="H646" s="3">
        <v>2347</v>
      </c>
      <c r="I646" s="4">
        <v>33.700000000000003</v>
      </c>
      <c r="J646" s="5">
        <v>141828.55943757988</v>
      </c>
      <c r="K646" s="6">
        <v>7.7507356447010394E-4</v>
      </c>
      <c r="L646" s="5">
        <v>318.20962931401789</v>
      </c>
      <c r="M646" s="5">
        <v>0</v>
      </c>
      <c r="N646" s="11">
        <v>1051.0711546655305</v>
      </c>
      <c r="O646" s="13">
        <v>2024</v>
      </c>
    </row>
    <row r="647" spans="1:15" ht="14.5" customHeight="1" x14ac:dyDescent="0.35">
      <c r="A647" s="20" t="s">
        <v>1319</v>
      </c>
      <c r="B647" s="15" t="s">
        <v>1320</v>
      </c>
      <c r="C647" s="15" t="s">
        <v>3108</v>
      </c>
      <c r="D647" s="16" t="s">
        <v>5</v>
      </c>
      <c r="E647" s="15" t="s">
        <v>183</v>
      </c>
      <c r="F647" s="15" t="s">
        <v>170</v>
      </c>
      <c r="G647" s="17" t="str">
        <f t="shared" si="10"/>
        <v>Small</v>
      </c>
      <c r="H647" s="3">
        <v>1137</v>
      </c>
      <c r="I647" s="4">
        <v>39</v>
      </c>
      <c r="J647" s="5">
        <v>289878.37554969219</v>
      </c>
      <c r="K647" s="6">
        <v>1.0077559201253339E-3</v>
      </c>
      <c r="L647" s="5">
        <v>1282.6983289357959</v>
      </c>
      <c r="M647" s="5">
        <v>283.93139841688657</v>
      </c>
      <c r="N647" s="11">
        <v>1692.5285136323657</v>
      </c>
      <c r="O647" s="13">
        <v>2024</v>
      </c>
    </row>
    <row r="648" spans="1:15" ht="14.5" customHeight="1" x14ac:dyDescent="0.35">
      <c r="A648" s="20" t="s">
        <v>1321</v>
      </c>
      <c r="B648" s="15" t="s">
        <v>1322</v>
      </c>
      <c r="C648" s="15" t="s">
        <v>3108</v>
      </c>
      <c r="D648" s="16" t="s">
        <v>86</v>
      </c>
      <c r="E648" s="15" t="s">
        <v>217</v>
      </c>
      <c r="F648" s="15" t="s">
        <v>170</v>
      </c>
      <c r="G648" s="17" t="str">
        <f t="shared" si="10"/>
        <v>Medium</v>
      </c>
      <c r="H648" s="3">
        <v>23278</v>
      </c>
      <c r="I648" s="4">
        <v>14.2</v>
      </c>
      <c r="J648" s="5">
        <v>140603.62943551852</v>
      </c>
      <c r="K648" s="6">
        <v>2.7383167943869336E-3</v>
      </c>
      <c r="L648" s="5">
        <v>725.53277472291438</v>
      </c>
      <c r="M648" s="5">
        <v>1615.7059880573934</v>
      </c>
      <c r="N648" s="11">
        <v>1377.9094471174499</v>
      </c>
      <c r="O648" s="13">
        <v>2024</v>
      </c>
    </row>
    <row r="649" spans="1:15" ht="14.5" customHeight="1" x14ac:dyDescent="0.35">
      <c r="A649" s="20" t="s">
        <v>1323</v>
      </c>
      <c r="B649" s="15" t="s">
        <v>1324</v>
      </c>
      <c r="C649" s="15" t="s">
        <v>3108</v>
      </c>
      <c r="D649" s="16" t="s">
        <v>63</v>
      </c>
      <c r="E649" s="15" t="s">
        <v>169</v>
      </c>
      <c r="F649" s="15" t="s">
        <v>170</v>
      </c>
      <c r="G649" s="17" t="str">
        <f t="shared" si="10"/>
        <v>Small</v>
      </c>
      <c r="H649" s="3">
        <v>4453</v>
      </c>
      <c r="I649" s="4">
        <v>56.7</v>
      </c>
      <c r="J649" s="5">
        <v>48735.2571300247</v>
      </c>
      <c r="K649" s="6">
        <v>3.8199578744814375E-3</v>
      </c>
      <c r="L649" s="5">
        <v>442.11864810240286</v>
      </c>
      <c r="M649" s="5">
        <v>1190.4017516281158</v>
      </c>
      <c r="N649" s="11">
        <v>675.31306534920282</v>
      </c>
      <c r="O649" s="13">
        <v>2024</v>
      </c>
    </row>
    <row r="650" spans="1:15" ht="14.5" customHeight="1" x14ac:dyDescent="0.35">
      <c r="A650" s="20" t="s">
        <v>1325</v>
      </c>
      <c r="B650" s="15" t="s">
        <v>1326</v>
      </c>
      <c r="C650" s="15" t="s">
        <v>3108</v>
      </c>
      <c r="D650" s="16" t="s">
        <v>55</v>
      </c>
      <c r="E650" s="15" t="s">
        <v>207</v>
      </c>
      <c r="F650" s="15" t="s">
        <v>208</v>
      </c>
      <c r="G650" s="17" t="str">
        <f t="shared" si="10"/>
        <v>Medium</v>
      </c>
      <c r="H650" s="3">
        <v>12408</v>
      </c>
      <c r="I650" s="4">
        <v>23.8</v>
      </c>
      <c r="J650" s="5">
        <v>591217.96784332686</v>
      </c>
      <c r="K650" s="6">
        <v>3.3272208505680935E-3</v>
      </c>
      <c r="L650" s="5">
        <v>2439.6155681818182</v>
      </c>
      <c r="M650" s="5">
        <v>1813.7491940683431</v>
      </c>
      <c r="N650" s="11">
        <v>3096.8915481947129</v>
      </c>
      <c r="O650" s="13">
        <v>2024</v>
      </c>
    </row>
    <row r="651" spans="1:15" ht="14.5" customHeight="1" x14ac:dyDescent="0.35">
      <c r="A651" s="20" t="s">
        <v>1327</v>
      </c>
      <c r="B651" s="15" t="s">
        <v>1328</v>
      </c>
      <c r="C651" s="15" t="s">
        <v>3108</v>
      </c>
      <c r="D651" s="16" t="s">
        <v>13</v>
      </c>
      <c r="E651" s="15" t="s">
        <v>186</v>
      </c>
      <c r="F651" s="15" t="s">
        <v>170</v>
      </c>
      <c r="G651" s="17" t="str">
        <f t="shared" si="10"/>
        <v>Small</v>
      </c>
      <c r="H651" s="3">
        <v>3504</v>
      </c>
      <c r="I651" s="4">
        <v>42.9</v>
      </c>
      <c r="J651" s="5">
        <v>92270.34503424658</v>
      </c>
      <c r="K651" s="6">
        <v>4.476407547803902E-3</v>
      </c>
      <c r="L651" s="5">
        <v>548.65525114155253</v>
      </c>
      <c r="M651" s="5">
        <v>66.534531963470315</v>
      </c>
      <c r="N651" s="11">
        <v>647.69606164383561</v>
      </c>
      <c r="O651" s="13">
        <v>2024</v>
      </c>
    </row>
    <row r="652" spans="1:15" ht="14.5" customHeight="1" x14ac:dyDescent="0.35">
      <c r="A652" s="20" t="s">
        <v>1329</v>
      </c>
      <c r="B652" s="15" t="s">
        <v>1330</v>
      </c>
      <c r="C652" s="15" t="s">
        <v>3108</v>
      </c>
      <c r="D652" s="16" t="s">
        <v>269</v>
      </c>
      <c r="E652" s="15" t="s">
        <v>178</v>
      </c>
      <c r="F652" s="15" t="s">
        <v>170</v>
      </c>
      <c r="G652" s="17" t="str">
        <f t="shared" si="10"/>
        <v>Small</v>
      </c>
      <c r="H652" s="3">
        <v>5321</v>
      </c>
      <c r="I652" s="4">
        <v>9.9</v>
      </c>
      <c r="J652" s="5">
        <v>57314.713023867691</v>
      </c>
      <c r="K652" s="6">
        <v>2.0838564148474054E-3</v>
      </c>
      <c r="L652" s="5">
        <v>130.8940048862996</v>
      </c>
      <c r="M652" s="5">
        <v>49.802668671302385</v>
      </c>
      <c r="N652" s="11">
        <v>220.59296936666038</v>
      </c>
      <c r="O652" s="13">
        <v>2024</v>
      </c>
    </row>
    <row r="653" spans="1:15" ht="14.5" customHeight="1" x14ac:dyDescent="0.35">
      <c r="A653" s="20" t="s">
        <v>1331</v>
      </c>
      <c r="B653" s="15" t="s">
        <v>1332</v>
      </c>
      <c r="C653" s="15" t="s">
        <v>3108</v>
      </c>
      <c r="D653" s="16" t="s">
        <v>9</v>
      </c>
      <c r="E653" s="15" t="s">
        <v>207</v>
      </c>
      <c r="F653" s="15" t="s">
        <v>208</v>
      </c>
      <c r="G653" s="17" t="str">
        <f t="shared" si="10"/>
        <v>Small</v>
      </c>
      <c r="H653" s="3">
        <v>2971</v>
      </c>
      <c r="I653" s="4">
        <v>43.2</v>
      </c>
      <c r="J653" s="5">
        <v>247360.84348704139</v>
      </c>
      <c r="K653" s="6">
        <v>3.6318724635246236E-3</v>
      </c>
      <c r="L653" s="5">
        <v>994.20599124873775</v>
      </c>
      <c r="M653" s="5">
        <v>1617.0572197913161</v>
      </c>
      <c r="N653" s="11">
        <v>1372.7708818579604</v>
      </c>
      <c r="O653" s="13">
        <v>2024</v>
      </c>
    </row>
    <row r="654" spans="1:15" ht="14.5" customHeight="1" x14ac:dyDescent="0.35">
      <c r="A654" s="20" t="s">
        <v>1333</v>
      </c>
      <c r="B654" s="15" t="s">
        <v>1334</v>
      </c>
      <c r="C654" s="15" t="s">
        <v>3108</v>
      </c>
      <c r="D654" s="16" t="s">
        <v>496</v>
      </c>
      <c r="E654" s="15" t="s">
        <v>169</v>
      </c>
      <c r="F654" s="15" t="s">
        <v>170</v>
      </c>
      <c r="G654" s="17" t="str">
        <f t="shared" si="10"/>
        <v>Small</v>
      </c>
      <c r="H654" s="3">
        <v>7480</v>
      </c>
      <c r="I654" s="4">
        <v>151.69999999999999</v>
      </c>
      <c r="J654" s="5">
        <v>412813.66056149732</v>
      </c>
      <c r="K654" s="6">
        <v>1.6210817335398869E-3</v>
      </c>
      <c r="L654" s="5">
        <v>949.78207620320848</v>
      </c>
      <c r="M654" s="5">
        <v>235.20440374331551</v>
      </c>
      <c r="N654" s="11">
        <v>1504.8772018716579</v>
      </c>
      <c r="O654" s="13">
        <v>2024</v>
      </c>
    </row>
    <row r="655" spans="1:15" ht="14.5" customHeight="1" x14ac:dyDescent="0.35">
      <c r="A655" s="20" t="s">
        <v>1335</v>
      </c>
      <c r="B655" s="15" t="s">
        <v>1336</v>
      </c>
      <c r="C655" s="15" t="s">
        <v>3108</v>
      </c>
      <c r="D655" s="16" t="s">
        <v>77</v>
      </c>
      <c r="E655" s="15" t="s">
        <v>217</v>
      </c>
      <c r="F655" s="15" t="s">
        <v>170</v>
      </c>
      <c r="G655" s="17" t="str">
        <f t="shared" si="10"/>
        <v>Medium</v>
      </c>
      <c r="H655" s="3">
        <v>13292</v>
      </c>
      <c r="I655" s="4">
        <v>18.600000000000001</v>
      </c>
      <c r="J655" s="5">
        <v>118981.82485705688</v>
      </c>
      <c r="K655" s="6">
        <v>2.387029228466943E-3</v>
      </c>
      <c r="L655" s="5">
        <v>643.58005943424621</v>
      </c>
      <c r="M655" s="5">
        <v>559.57997743003307</v>
      </c>
      <c r="N655" s="11">
        <v>1272.8721787541378</v>
      </c>
      <c r="O655" s="13">
        <v>2024</v>
      </c>
    </row>
    <row r="656" spans="1:15" ht="14.5" customHeight="1" x14ac:dyDescent="0.35">
      <c r="A656" s="20" t="s">
        <v>1337</v>
      </c>
      <c r="B656" s="15" t="s">
        <v>1338</v>
      </c>
      <c r="C656" s="15" t="s">
        <v>3108</v>
      </c>
      <c r="D656" s="16" t="s">
        <v>22</v>
      </c>
      <c r="E656" s="15" t="s">
        <v>186</v>
      </c>
      <c r="F656" s="15" t="s">
        <v>170</v>
      </c>
      <c r="G656" s="17" t="str">
        <f t="shared" si="10"/>
        <v>Small</v>
      </c>
      <c r="H656" s="3">
        <v>2192</v>
      </c>
      <c r="I656" s="4">
        <v>42.1</v>
      </c>
      <c r="J656" s="5">
        <v>194485.83074817518</v>
      </c>
      <c r="K656" s="6">
        <v>2.0078208228729326E-3</v>
      </c>
      <c r="L656" s="5">
        <v>824.46684306569341</v>
      </c>
      <c r="M656" s="5">
        <v>0</v>
      </c>
      <c r="N656" s="11">
        <v>1132.67174270073</v>
      </c>
      <c r="O656" s="13">
        <v>2024</v>
      </c>
    </row>
    <row r="657" spans="1:15" ht="14.5" customHeight="1" x14ac:dyDescent="0.35">
      <c r="A657" s="20" t="s">
        <v>1339</v>
      </c>
      <c r="B657" s="15" t="s">
        <v>1340</v>
      </c>
      <c r="C657" s="15" t="s">
        <v>3108</v>
      </c>
      <c r="D657" s="16" t="s">
        <v>30</v>
      </c>
      <c r="E657" s="15" t="s">
        <v>273</v>
      </c>
      <c r="F657" s="15" t="s">
        <v>208</v>
      </c>
      <c r="G657" s="17" t="str">
        <f t="shared" si="10"/>
        <v>Large</v>
      </c>
      <c r="H657" s="3">
        <v>237639</v>
      </c>
      <c r="I657" s="4">
        <v>53.5</v>
      </c>
      <c r="J657" s="5">
        <v>326105.13425826567</v>
      </c>
      <c r="K657" s="6">
        <v>2.0991677585393636E-3</v>
      </c>
      <c r="L657" s="5">
        <v>812.62134582286581</v>
      </c>
      <c r="M657" s="5">
        <v>2384.5642171529084</v>
      </c>
      <c r="N657" s="11">
        <v>1648.2952713990549</v>
      </c>
      <c r="O657" s="13">
        <v>2024</v>
      </c>
    </row>
    <row r="658" spans="1:15" ht="14.5" customHeight="1" x14ac:dyDescent="0.35">
      <c r="A658" s="20" t="s">
        <v>1341</v>
      </c>
      <c r="B658" s="15" t="s">
        <v>1342</v>
      </c>
      <c r="C658" s="15" t="s">
        <v>3108</v>
      </c>
      <c r="D658" s="16" t="s">
        <v>496</v>
      </c>
      <c r="E658" s="15" t="s">
        <v>169</v>
      </c>
      <c r="F658" s="15" t="s">
        <v>170</v>
      </c>
      <c r="G658" s="17" t="str">
        <f t="shared" si="10"/>
        <v>Small</v>
      </c>
      <c r="H658" s="3">
        <v>250</v>
      </c>
      <c r="I658" s="4">
        <v>181.5</v>
      </c>
      <c r="J658" s="5">
        <v>644448.94799999997</v>
      </c>
      <c r="K658" s="6" t="s">
        <v>27</v>
      </c>
      <c r="L658" s="5">
        <v>0</v>
      </c>
      <c r="M658" s="5">
        <v>0</v>
      </c>
      <c r="N658" s="11">
        <v>0</v>
      </c>
      <c r="O658" s="13">
        <v>2024</v>
      </c>
    </row>
    <row r="659" spans="1:15" ht="14.5" customHeight="1" x14ac:dyDescent="0.35">
      <c r="A659" s="20" t="s">
        <v>1343</v>
      </c>
      <c r="B659" s="15" t="s">
        <v>1344</v>
      </c>
      <c r="C659" s="15" t="s">
        <v>3108</v>
      </c>
      <c r="D659" s="16" t="s">
        <v>61</v>
      </c>
      <c r="E659" s="15" t="s">
        <v>173</v>
      </c>
      <c r="F659" s="15" t="s">
        <v>170</v>
      </c>
      <c r="G659" s="17" t="str">
        <f t="shared" si="10"/>
        <v>Small</v>
      </c>
      <c r="H659" s="3">
        <v>1664</v>
      </c>
      <c r="I659" s="4">
        <v>28.1</v>
      </c>
      <c r="J659" s="5">
        <v>72531.090745192312</v>
      </c>
      <c r="K659" s="6">
        <v>3.7757017910132781E-3</v>
      </c>
      <c r="L659" s="5">
        <v>490.5703125</v>
      </c>
      <c r="M659" s="5">
        <v>0</v>
      </c>
      <c r="N659" s="11">
        <v>623.80048076923072</v>
      </c>
      <c r="O659" s="13">
        <v>2024</v>
      </c>
    </row>
    <row r="660" spans="1:15" ht="14.5" customHeight="1" x14ac:dyDescent="0.35">
      <c r="A660" s="20" t="s">
        <v>1345</v>
      </c>
      <c r="B660" s="15" t="s">
        <v>1346</v>
      </c>
      <c r="C660" s="15" t="s">
        <v>3108</v>
      </c>
      <c r="D660" s="16" t="s">
        <v>55</v>
      </c>
      <c r="E660" s="15" t="s">
        <v>207</v>
      </c>
      <c r="F660" s="15" t="s">
        <v>208</v>
      </c>
      <c r="G660" s="17" t="str">
        <f t="shared" si="10"/>
        <v>Small</v>
      </c>
      <c r="H660" s="3">
        <v>5243</v>
      </c>
      <c r="I660" s="4">
        <v>21.3</v>
      </c>
      <c r="J660" s="5">
        <v>323196.20389090216</v>
      </c>
      <c r="K660" s="6">
        <v>4.4845722257452472E-3</v>
      </c>
      <c r="L660" s="5">
        <v>1753.3177570093458</v>
      </c>
      <c r="M660" s="5">
        <v>1680.8050734312417</v>
      </c>
      <c r="N660" s="11">
        <v>2561.4054930383368</v>
      </c>
      <c r="O660" s="13">
        <v>2024</v>
      </c>
    </row>
    <row r="661" spans="1:15" ht="14.5" customHeight="1" x14ac:dyDescent="0.35">
      <c r="A661" s="20" t="s">
        <v>1347</v>
      </c>
      <c r="B661" s="15" t="s">
        <v>1348</v>
      </c>
      <c r="C661" s="15" t="s">
        <v>3108</v>
      </c>
      <c r="D661" s="16" t="s">
        <v>34</v>
      </c>
      <c r="E661" s="15" t="s">
        <v>214</v>
      </c>
      <c r="F661" s="15" t="s">
        <v>170</v>
      </c>
      <c r="G661" s="17" t="str">
        <f t="shared" si="10"/>
        <v>Small</v>
      </c>
      <c r="H661" s="3">
        <v>2472</v>
      </c>
      <c r="I661" s="4">
        <v>21.1</v>
      </c>
      <c r="J661" s="5">
        <v>258258.16100323625</v>
      </c>
      <c r="K661" s="6">
        <v>7.0923550641593361E-4</v>
      </c>
      <c r="L661" s="5">
        <v>705.51456310679612</v>
      </c>
      <c r="M661" s="5">
        <v>8.7783171521035595</v>
      </c>
      <c r="N661" s="11">
        <v>980.02669902912623</v>
      </c>
      <c r="O661" s="13">
        <v>2024</v>
      </c>
    </row>
    <row r="662" spans="1:15" ht="14.5" customHeight="1" x14ac:dyDescent="0.35">
      <c r="A662" s="20" t="s">
        <v>1349</v>
      </c>
      <c r="B662" s="15" t="s">
        <v>1350</v>
      </c>
      <c r="C662" s="15" t="s">
        <v>3108</v>
      </c>
      <c r="D662" s="16" t="s">
        <v>51</v>
      </c>
      <c r="E662" s="15" t="s">
        <v>217</v>
      </c>
      <c r="F662" s="15" t="s">
        <v>170</v>
      </c>
      <c r="G662" s="17" t="str">
        <f t="shared" si="10"/>
        <v>Small</v>
      </c>
      <c r="H662" s="3">
        <v>5242</v>
      </c>
      <c r="I662" s="4">
        <v>32.299999999999997</v>
      </c>
      <c r="J662" s="5">
        <v>119139.02212895842</v>
      </c>
      <c r="K662" s="6">
        <v>1.2840223815295509E-3</v>
      </c>
      <c r="L662" s="5">
        <v>484.65343952689813</v>
      </c>
      <c r="M662" s="5">
        <v>0</v>
      </c>
      <c r="N662" s="11">
        <v>573.59452499046165</v>
      </c>
      <c r="O662" s="13">
        <v>2024</v>
      </c>
    </row>
    <row r="663" spans="1:15" ht="14.5" customHeight="1" x14ac:dyDescent="0.35">
      <c r="A663" s="20" t="s">
        <v>1351</v>
      </c>
      <c r="B663" s="15" t="s">
        <v>1352</v>
      </c>
      <c r="C663" s="15" t="s">
        <v>3108</v>
      </c>
      <c r="D663" s="16" t="s">
        <v>46</v>
      </c>
      <c r="E663" s="15" t="s">
        <v>214</v>
      </c>
      <c r="F663" s="15" t="s">
        <v>170</v>
      </c>
      <c r="G663" s="17" t="str">
        <f t="shared" si="10"/>
        <v>Small</v>
      </c>
      <c r="H663" s="3">
        <v>740</v>
      </c>
      <c r="I663" s="4">
        <v>35.6</v>
      </c>
      <c r="J663" s="5">
        <v>105458.65675675675</v>
      </c>
      <c r="K663" s="6" t="s">
        <v>27</v>
      </c>
      <c r="L663" s="5">
        <v>0</v>
      </c>
      <c r="M663" s="5">
        <v>0</v>
      </c>
      <c r="N663" s="11">
        <v>0</v>
      </c>
      <c r="O663" s="13">
        <v>2024</v>
      </c>
    </row>
    <row r="664" spans="1:15" ht="14.5" customHeight="1" x14ac:dyDescent="0.35">
      <c r="A664" s="20" t="s">
        <v>1353</v>
      </c>
      <c r="B664" s="15" t="s">
        <v>130</v>
      </c>
      <c r="C664" s="15" t="s">
        <v>3108</v>
      </c>
      <c r="D664" s="16" t="s">
        <v>61</v>
      </c>
      <c r="E664" s="15" t="s">
        <v>173</v>
      </c>
      <c r="F664" s="15" t="s">
        <v>170</v>
      </c>
      <c r="G664" s="17" t="str">
        <f t="shared" si="10"/>
        <v>Small</v>
      </c>
      <c r="H664" s="3">
        <v>3599</v>
      </c>
      <c r="I664" s="4">
        <v>42</v>
      </c>
      <c r="J664" s="5">
        <v>79335.720477910538</v>
      </c>
      <c r="K664" s="6">
        <v>3.1216485702491477E-3</v>
      </c>
      <c r="L664" s="5">
        <v>460.4341983884413</v>
      </c>
      <c r="M664" s="5">
        <v>55.57099194220617</v>
      </c>
      <c r="N664" s="11">
        <v>701.20595998888575</v>
      </c>
      <c r="O664" s="13">
        <v>2024</v>
      </c>
    </row>
    <row r="665" spans="1:15" ht="14.5" customHeight="1" x14ac:dyDescent="0.35">
      <c r="A665" s="20" t="s">
        <v>1354</v>
      </c>
      <c r="B665" s="15" t="s">
        <v>1355</v>
      </c>
      <c r="C665" s="15" t="s">
        <v>3108</v>
      </c>
      <c r="D665" s="16" t="s">
        <v>269</v>
      </c>
      <c r="E665" s="15" t="s">
        <v>178</v>
      </c>
      <c r="F665" s="15" t="s">
        <v>170</v>
      </c>
      <c r="G665" s="17" t="str">
        <f t="shared" si="10"/>
        <v>Small</v>
      </c>
      <c r="H665" s="3">
        <v>2688</v>
      </c>
      <c r="I665" s="4">
        <v>37.1</v>
      </c>
      <c r="J665" s="5">
        <v>66832.924107142855</v>
      </c>
      <c r="K665" s="6">
        <v>7.9503459285965965E-3</v>
      </c>
      <c r="L665" s="5">
        <v>567.15959821428567</v>
      </c>
      <c r="M665" s="5">
        <v>554.31547619047615</v>
      </c>
      <c r="N665" s="11">
        <v>688.08035714285711</v>
      </c>
      <c r="O665" s="13">
        <v>2024</v>
      </c>
    </row>
    <row r="666" spans="1:15" ht="14.5" customHeight="1" x14ac:dyDescent="0.35">
      <c r="A666" s="20" t="s">
        <v>1356</v>
      </c>
      <c r="B666" s="15" t="s">
        <v>1357</v>
      </c>
      <c r="C666" s="15" t="s">
        <v>3108</v>
      </c>
      <c r="D666" s="16" t="s">
        <v>7</v>
      </c>
      <c r="E666" s="15" t="s">
        <v>178</v>
      </c>
      <c r="F666" s="15" t="s">
        <v>170</v>
      </c>
      <c r="G666" s="17" t="str">
        <f t="shared" si="10"/>
        <v>Small</v>
      </c>
      <c r="H666" s="3">
        <v>3145</v>
      </c>
      <c r="I666" s="4">
        <v>23.3</v>
      </c>
      <c r="J666" s="5">
        <v>49638.395866454688</v>
      </c>
      <c r="K666" s="6">
        <v>7.0259217448311638E-3</v>
      </c>
      <c r="L666" s="5">
        <v>580.95453100158977</v>
      </c>
      <c r="M666" s="5">
        <v>1973.8947535771065</v>
      </c>
      <c r="N666" s="11">
        <v>741.34499205087445</v>
      </c>
      <c r="O666" s="13">
        <v>2024</v>
      </c>
    </row>
    <row r="667" spans="1:15" ht="14.5" customHeight="1" x14ac:dyDescent="0.35">
      <c r="A667" s="20" t="s">
        <v>1358</v>
      </c>
      <c r="B667" s="15" t="s">
        <v>1359</v>
      </c>
      <c r="C667" s="15" t="s">
        <v>3108</v>
      </c>
      <c r="D667" s="16" t="s">
        <v>79</v>
      </c>
      <c r="E667" s="15" t="s">
        <v>178</v>
      </c>
      <c r="F667" s="15" t="s">
        <v>170</v>
      </c>
      <c r="G667" s="17" t="str">
        <f t="shared" si="10"/>
        <v>Medium</v>
      </c>
      <c r="H667" s="3">
        <v>20270</v>
      </c>
      <c r="I667" s="4">
        <v>36.5</v>
      </c>
      <c r="J667" s="5">
        <v>94844.144351258015</v>
      </c>
      <c r="K667" s="6">
        <v>4.1217206216381773E-3</v>
      </c>
      <c r="L667" s="5">
        <v>535.74024469659594</v>
      </c>
      <c r="M667" s="5">
        <v>0</v>
      </c>
      <c r="N667" s="11">
        <v>693.84643512580169</v>
      </c>
      <c r="O667" s="13">
        <v>2024</v>
      </c>
    </row>
    <row r="668" spans="1:15" ht="14.5" customHeight="1" x14ac:dyDescent="0.35">
      <c r="A668" s="20" t="s">
        <v>1360</v>
      </c>
      <c r="B668" s="15" t="s">
        <v>1361</v>
      </c>
      <c r="C668" s="15" t="s">
        <v>3108</v>
      </c>
      <c r="D668" s="16" t="s">
        <v>46</v>
      </c>
      <c r="E668" s="15" t="s">
        <v>214</v>
      </c>
      <c r="F668" s="15" t="s">
        <v>170</v>
      </c>
      <c r="G668" s="17" t="str">
        <f t="shared" si="10"/>
        <v>Small</v>
      </c>
      <c r="H668" s="3">
        <v>962</v>
      </c>
      <c r="I668" s="4">
        <v>301.3</v>
      </c>
      <c r="J668" s="5">
        <v>296146.37629937631</v>
      </c>
      <c r="K668" s="6" t="s">
        <v>27</v>
      </c>
      <c r="L668" s="5">
        <v>0</v>
      </c>
      <c r="M668" s="5">
        <v>0</v>
      </c>
      <c r="N668" s="11">
        <v>0</v>
      </c>
      <c r="O668" s="13">
        <v>2024</v>
      </c>
    </row>
    <row r="669" spans="1:15" ht="14.5" customHeight="1" x14ac:dyDescent="0.35">
      <c r="A669" s="20" t="s">
        <v>1362</v>
      </c>
      <c r="B669" s="15" t="s">
        <v>132</v>
      </c>
      <c r="C669" s="15" t="s">
        <v>3108</v>
      </c>
      <c r="D669" s="16" t="s">
        <v>65</v>
      </c>
      <c r="E669" s="15" t="s">
        <v>186</v>
      </c>
      <c r="F669" s="15" t="s">
        <v>170</v>
      </c>
      <c r="G669" s="17" t="str">
        <f t="shared" si="10"/>
        <v>Small</v>
      </c>
      <c r="H669" s="3">
        <v>1881</v>
      </c>
      <c r="I669" s="4">
        <v>29.6</v>
      </c>
      <c r="J669" s="5">
        <v>86620.714513556624</v>
      </c>
      <c r="K669" s="6">
        <v>2.8367360208238E-3</v>
      </c>
      <c r="L669" s="5">
        <v>504.64013290802768</v>
      </c>
      <c r="M669" s="5">
        <v>132.69154704944177</v>
      </c>
      <c r="N669" s="11">
        <v>749.32921318447632</v>
      </c>
      <c r="O669" s="13">
        <v>2024</v>
      </c>
    </row>
    <row r="670" spans="1:15" ht="14.5" customHeight="1" x14ac:dyDescent="0.35">
      <c r="A670" s="20" t="s">
        <v>1363</v>
      </c>
      <c r="B670" s="15" t="s">
        <v>1364</v>
      </c>
      <c r="C670" s="15" t="s">
        <v>3108</v>
      </c>
      <c r="D670" s="16" t="s">
        <v>43</v>
      </c>
      <c r="E670" s="15" t="s">
        <v>207</v>
      </c>
      <c r="F670" s="15" t="s">
        <v>208</v>
      </c>
      <c r="G670" s="17" t="str">
        <f t="shared" si="10"/>
        <v>Small</v>
      </c>
      <c r="H670" s="3">
        <v>4226</v>
      </c>
      <c r="I670" s="4">
        <v>58.5</v>
      </c>
      <c r="J670" s="5">
        <v>389493.01703738759</v>
      </c>
      <c r="K670" s="6">
        <v>3.1670060444624372E-3</v>
      </c>
      <c r="L670" s="5">
        <v>1371.9590629436821</v>
      </c>
      <c r="M670" s="5">
        <v>65.073355418835774</v>
      </c>
      <c r="N670" s="11">
        <v>1967.5416469474681</v>
      </c>
      <c r="O670" s="13">
        <v>2024</v>
      </c>
    </row>
    <row r="671" spans="1:15" ht="14.5" customHeight="1" x14ac:dyDescent="0.35">
      <c r="A671" s="20" t="s">
        <v>1365</v>
      </c>
      <c r="B671" s="15" t="s">
        <v>133</v>
      </c>
      <c r="C671" s="15" t="s">
        <v>3108</v>
      </c>
      <c r="D671" s="16" t="s">
        <v>69</v>
      </c>
      <c r="E671" s="15" t="s">
        <v>173</v>
      </c>
      <c r="F671" s="15" t="s">
        <v>170</v>
      </c>
      <c r="G671" s="17" t="str">
        <f t="shared" si="10"/>
        <v>Small</v>
      </c>
      <c r="H671" s="3">
        <v>5065</v>
      </c>
      <c r="I671" s="4">
        <v>32.9</v>
      </c>
      <c r="J671" s="5">
        <v>124385.98203356368</v>
      </c>
      <c r="K671" s="6">
        <v>4.3148496532857935E-3</v>
      </c>
      <c r="L671" s="5">
        <v>700.17910562685097</v>
      </c>
      <c r="M671" s="5">
        <v>1266.8311944718657</v>
      </c>
      <c r="N671" s="11">
        <v>995.79799605133258</v>
      </c>
      <c r="O671" s="13">
        <v>2024</v>
      </c>
    </row>
    <row r="672" spans="1:15" ht="14.5" customHeight="1" x14ac:dyDescent="0.35">
      <c r="A672" s="20" t="s">
        <v>1366</v>
      </c>
      <c r="B672" s="15" t="s">
        <v>89</v>
      </c>
      <c r="C672" s="15" t="s">
        <v>3108</v>
      </c>
      <c r="D672" s="16" t="s">
        <v>89</v>
      </c>
      <c r="E672" s="15" t="s">
        <v>183</v>
      </c>
      <c r="F672" s="15" t="s">
        <v>170</v>
      </c>
      <c r="G672" s="17" t="str">
        <f t="shared" si="10"/>
        <v>Medium</v>
      </c>
      <c r="H672" s="3">
        <v>22937</v>
      </c>
      <c r="I672" s="4">
        <v>57.7</v>
      </c>
      <c r="J672" s="5">
        <v>95865.172123643017</v>
      </c>
      <c r="K672" s="6">
        <v>3.8567503659361901E-3</v>
      </c>
      <c r="L672" s="5">
        <v>382.96198282251385</v>
      </c>
      <c r="M672" s="5">
        <v>30.22583598552557</v>
      </c>
      <c r="N672" s="11">
        <v>478.04896019531759</v>
      </c>
      <c r="O672" s="13">
        <v>2024</v>
      </c>
    </row>
    <row r="673" spans="1:15" ht="14.5" customHeight="1" x14ac:dyDescent="0.35">
      <c r="A673" s="20" t="s">
        <v>1367</v>
      </c>
      <c r="B673" s="15" t="s">
        <v>15</v>
      </c>
      <c r="C673" s="15" t="s">
        <v>3108</v>
      </c>
      <c r="D673" s="16" t="s">
        <v>234</v>
      </c>
      <c r="E673" s="15" t="s">
        <v>178</v>
      </c>
      <c r="F673" s="15" t="s">
        <v>170</v>
      </c>
      <c r="G673" s="17" t="str">
        <f t="shared" si="10"/>
        <v>Medium</v>
      </c>
      <c r="H673" s="3">
        <v>10446</v>
      </c>
      <c r="I673" s="4">
        <v>32.4</v>
      </c>
      <c r="J673" s="5">
        <v>105225.94131725062</v>
      </c>
      <c r="K673" s="6">
        <v>2.300352604222631E-3</v>
      </c>
      <c r="L673" s="5">
        <v>464.19490714148958</v>
      </c>
      <c r="M673" s="5">
        <v>506.93308443423319</v>
      </c>
      <c r="N673" s="11">
        <v>1070.1068351522113</v>
      </c>
      <c r="O673" s="13">
        <v>2024</v>
      </c>
    </row>
    <row r="674" spans="1:15" ht="14.5" customHeight="1" x14ac:dyDescent="0.35">
      <c r="A674" s="20" t="s">
        <v>1368</v>
      </c>
      <c r="B674" s="15" t="s">
        <v>1369</v>
      </c>
      <c r="C674" s="15" t="s">
        <v>3108</v>
      </c>
      <c r="D674" s="16" t="s">
        <v>34</v>
      </c>
      <c r="E674" s="15" t="s">
        <v>214</v>
      </c>
      <c r="F674" s="15" t="s">
        <v>170</v>
      </c>
      <c r="G674" s="17" t="str">
        <f t="shared" si="10"/>
        <v>Small</v>
      </c>
      <c r="H674" s="3">
        <v>1751</v>
      </c>
      <c r="I674" s="4">
        <v>56.1</v>
      </c>
      <c r="J674" s="5">
        <v>86232.892061679042</v>
      </c>
      <c r="K674" s="6">
        <v>5.2686137550792319E-3</v>
      </c>
      <c r="L674" s="5">
        <v>680.4009023415191</v>
      </c>
      <c r="M674" s="5">
        <v>0</v>
      </c>
      <c r="N674" s="11">
        <v>1029.3644031981726</v>
      </c>
      <c r="O674" s="13">
        <v>2024</v>
      </c>
    </row>
    <row r="675" spans="1:15" ht="14.5" customHeight="1" x14ac:dyDescent="0.35">
      <c r="A675" s="20" t="s">
        <v>1370</v>
      </c>
      <c r="B675" s="15" t="s">
        <v>53</v>
      </c>
      <c r="C675" s="15" t="s">
        <v>3108</v>
      </c>
      <c r="D675" s="16" t="s">
        <v>451</v>
      </c>
      <c r="E675" s="15" t="s">
        <v>173</v>
      </c>
      <c r="F675" s="15" t="s">
        <v>170</v>
      </c>
      <c r="G675" s="17" t="str">
        <f t="shared" si="10"/>
        <v>Small</v>
      </c>
      <c r="H675" s="3">
        <v>1408</v>
      </c>
      <c r="I675" s="4">
        <v>54.1</v>
      </c>
      <c r="J675" s="5">
        <v>108988.14133522728</v>
      </c>
      <c r="K675" s="6">
        <v>5.9964757294832622E-3</v>
      </c>
      <c r="L675" s="5">
        <v>773.28845170454554</v>
      </c>
      <c r="M675" s="5">
        <v>30.421711647727271</v>
      </c>
      <c r="N675" s="11">
        <v>1010.99265625</v>
      </c>
      <c r="O675" s="13">
        <v>2024</v>
      </c>
    </row>
    <row r="676" spans="1:15" ht="14.5" customHeight="1" x14ac:dyDescent="0.35">
      <c r="A676" s="20" t="s">
        <v>1371</v>
      </c>
      <c r="B676" s="15" t="s">
        <v>1372</v>
      </c>
      <c r="C676" s="15" t="s">
        <v>3108</v>
      </c>
      <c r="D676" s="16" t="s">
        <v>513</v>
      </c>
      <c r="E676" s="15" t="s">
        <v>207</v>
      </c>
      <c r="F676" s="15" t="s">
        <v>208</v>
      </c>
      <c r="G676" s="17" t="str">
        <f t="shared" si="10"/>
        <v>Medium</v>
      </c>
      <c r="H676" s="3">
        <v>48655</v>
      </c>
      <c r="I676" s="4">
        <v>24.1</v>
      </c>
      <c r="J676" s="5">
        <v>219005.79255986025</v>
      </c>
      <c r="K676" s="6">
        <v>6.0465118884503559E-3</v>
      </c>
      <c r="L676" s="5">
        <v>1419.1928887061968</v>
      </c>
      <c r="M676" s="5">
        <v>1736.7056623163087</v>
      </c>
      <c r="N676" s="11">
        <v>2168.9011406844106</v>
      </c>
      <c r="O676" s="13">
        <v>2024</v>
      </c>
    </row>
    <row r="677" spans="1:15" ht="14.5" customHeight="1" x14ac:dyDescent="0.35">
      <c r="A677" s="20" t="s">
        <v>1373</v>
      </c>
      <c r="B677" s="15" t="s">
        <v>1374</v>
      </c>
      <c r="C677" s="15" t="s">
        <v>3108</v>
      </c>
      <c r="D677" s="16" t="s">
        <v>231</v>
      </c>
      <c r="E677" s="15" t="s">
        <v>178</v>
      </c>
      <c r="F677" s="15" t="s">
        <v>170</v>
      </c>
      <c r="G677" s="17" t="str">
        <f t="shared" si="10"/>
        <v>Small</v>
      </c>
      <c r="H677" s="3">
        <v>1283</v>
      </c>
      <c r="I677" s="4">
        <v>35.6</v>
      </c>
      <c r="J677" s="5">
        <v>111391.18939984411</v>
      </c>
      <c r="K677" s="6">
        <v>1.4377087745982755E-4</v>
      </c>
      <c r="L677" s="5">
        <v>79.123257989088074</v>
      </c>
      <c r="M677" s="5">
        <v>92.169914263445051</v>
      </c>
      <c r="N677" s="11">
        <v>1235.365089633671</v>
      </c>
      <c r="O677" s="13">
        <v>2024</v>
      </c>
    </row>
    <row r="678" spans="1:15" ht="14.5" customHeight="1" x14ac:dyDescent="0.35">
      <c r="A678" s="20" t="s">
        <v>1375</v>
      </c>
      <c r="B678" s="15" t="s">
        <v>1376</v>
      </c>
      <c r="C678" s="15" t="s">
        <v>3108</v>
      </c>
      <c r="D678" s="16" t="s">
        <v>13</v>
      </c>
      <c r="E678" s="15" t="s">
        <v>186</v>
      </c>
      <c r="F678" s="15" t="s">
        <v>170</v>
      </c>
      <c r="G678" s="17" t="str">
        <f t="shared" si="10"/>
        <v>Medium</v>
      </c>
      <c r="H678" s="3">
        <v>29686</v>
      </c>
      <c r="I678" s="4">
        <v>38.4</v>
      </c>
      <c r="J678" s="5">
        <v>165200.52054840667</v>
      </c>
      <c r="K678" s="6">
        <v>3.800315634904921E-3</v>
      </c>
      <c r="L678" s="5">
        <v>848.24843360506634</v>
      </c>
      <c r="M678" s="5">
        <v>1399.2454355588493</v>
      </c>
      <c r="N678" s="11">
        <v>1395.6161490264772</v>
      </c>
      <c r="O678" s="13">
        <v>2024</v>
      </c>
    </row>
    <row r="679" spans="1:15" ht="14.5" customHeight="1" x14ac:dyDescent="0.35">
      <c r="A679" s="20" t="s">
        <v>1377</v>
      </c>
      <c r="B679" s="15" t="s">
        <v>181</v>
      </c>
      <c r="C679" s="15" t="s">
        <v>3108</v>
      </c>
      <c r="D679" s="16" t="s">
        <v>94</v>
      </c>
      <c r="E679" s="15" t="s">
        <v>169</v>
      </c>
      <c r="F679" s="15" t="s">
        <v>170</v>
      </c>
      <c r="G679" s="17" t="str">
        <f t="shared" si="10"/>
        <v>Small</v>
      </c>
      <c r="H679" s="3">
        <v>2788</v>
      </c>
      <c r="I679" s="4">
        <v>71.400000000000006</v>
      </c>
      <c r="J679" s="5">
        <v>205933.00896700143</v>
      </c>
      <c r="K679" s="6">
        <v>3.1825793162121096E-4</v>
      </c>
      <c r="L679" s="5">
        <v>696.10294117647061</v>
      </c>
      <c r="M679" s="5">
        <v>4080.0936154949786</v>
      </c>
      <c r="N679" s="11">
        <v>1914.5233142037303</v>
      </c>
      <c r="O679" s="13">
        <v>2024</v>
      </c>
    </row>
    <row r="680" spans="1:15" ht="14.5" customHeight="1" x14ac:dyDescent="0.35">
      <c r="A680" s="20" t="s">
        <v>1378</v>
      </c>
      <c r="B680" s="15" t="s">
        <v>1379</v>
      </c>
      <c r="C680" s="15" t="s">
        <v>3108</v>
      </c>
      <c r="D680" s="16" t="s">
        <v>26</v>
      </c>
      <c r="E680" s="15" t="s">
        <v>183</v>
      </c>
      <c r="F680" s="15" t="s">
        <v>170</v>
      </c>
      <c r="G680" s="17" t="str">
        <f t="shared" si="10"/>
        <v>Small</v>
      </c>
      <c r="H680" s="3">
        <v>1077</v>
      </c>
      <c r="I680" s="4">
        <v>39.6</v>
      </c>
      <c r="J680" s="5">
        <v>146903.54317548746</v>
      </c>
      <c r="K680" s="6" t="s">
        <v>27</v>
      </c>
      <c r="L680" s="5">
        <v>0</v>
      </c>
      <c r="M680" s="5">
        <v>0</v>
      </c>
      <c r="N680" s="11">
        <v>0</v>
      </c>
      <c r="O680" s="13">
        <v>2024</v>
      </c>
    </row>
    <row r="681" spans="1:15" ht="14.5" customHeight="1" x14ac:dyDescent="0.35">
      <c r="A681" s="20" t="s">
        <v>1380</v>
      </c>
      <c r="B681" s="15" t="s">
        <v>1381</v>
      </c>
      <c r="C681" s="15" t="s">
        <v>3108</v>
      </c>
      <c r="D681" s="16" t="s">
        <v>597</v>
      </c>
      <c r="E681" s="15" t="s">
        <v>169</v>
      </c>
      <c r="F681" s="15" t="s">
        <v>170</v>
      </c>
      <c r="G681" s="17" t="str">
        <f t="shared" si="10"/>
        <v>Small</v>
      </c>
      <c r="H681" s="3">
        <v>243</v>
      </c>
      <c r="I681" s="4">
        <v>87</v>
      </c>
      <c r="J681" s="5">
        <v>259974.17695473251</v>
      </c>
      <c r="K681" s="6" t="s">
        <v>27</v>
      </c>
      <c r="L681" s="5">
        <v>0</v>
      </c>
      <c r="M681" s="5">
        <v>0</v>
      </c>
      <c r="N681" s="11">
        <v>0</v>
      </c>
      <c r="O681" s="13">
        <v>2024</v>
      </c>
    </row>
    <row r="682" spans="1:15" ht="14.5" customHeight="1" x14ac:dyDescent="0.35">
      <c r="A682" s="20" t="s">
        <v>1382</v>
      </c>
      <c r="B682" s="15" t="s">
        <v>1383</v>
      </c>
      <c r="C682" s="15" t="s">
        <v>3108</v>
      </c>
      <c r="D682" s="16" t="s">
        <v>269</v>
      </c>
      <c r="E682" s="15" t="s">
        <v>178</v>
      </c>
      <c r="F682" s="15" t="s">
        <v>170</v>
      </c>
      <c r="G682" s="17" t="str">
        <f t="shared" si="10"/>
        <v>Small</v>
      </c>
      <c r="H682" s="3">
        <v>724</v>
      </c>
      <c r="I682" s="4">
        <v>39.6</v>
      </c>
      <c r="J682" s="5">
        <v>121931.62845303868</v>
      </c>
      <c r="K682" s="6">
        <v>8.5887278169512141E-3</v>
      </c>
      <c r="L682" s="5">
        <v>1080.6837016574586</v>
      </c>
      <c r="M682" s="5">
        <v>0</v>
      </c>
      <c r="N682" s="11">
        <v>1502.8936464088397</v>
      </c>
      <c r="O682" s="13">
        <v>2024</v>
      </c>
    </row>
    <row r="683" spans="1:15" ht="14.5" customHeight="1" x14ac:dyDescent="0.35">
      <c r="A683" s="20" t="s">
        <v>1384</v>
      </c>
      <c r="B683" s="15" t="s">
        <v>1385</v>
      </c>
      <c r="C683" s="15" t="s">
        <v>3108</v>
      </c>
      <c r="D683" s="16" t="s">
        <v>55</v>
      </c>
      <c r="E683" s="15" t="s">
        <v>207</v>
      </c>
      <c r="F683" s="15" t="s">
        <v>208</v>
      </c>
      <c r="G683" s="17" t="str">
        <f t="shared" si="10"/>
        <v>Medium</v>
      </c>
      <c r="H683" s="3">
        <v>40061</v>
      </c>
      <c r="I683" s="4">
        <v>11.6</v>
      </c>
      <c r="J683" s="5">
        <v>159875.38164299444</v>
      </c>
      <c r="K683" s="6">
        <v>1.9684759325252548E-3</v>
      </c>
      <c r="L683" s="5">
        <v>369.42153216345076</v>
      </c>
      <c r="M683" s="5">
        <v>173.13551833453982</v>
      </c>
      <c r="N683" s="11">
        <v>490.23623973440505</v>
      </c>
      <c r="O683" s="13">
        <v>2024</v>
      </c>
    </row>
    <row r="684" spans="1:15" ht="14.5" customHeight="1" x14ac:dyDescent="0.35">
      <c r="A684" s="20" t="s">
        <v>1386</v>
      </c>
      <c r="B684" s="15" t="s">
        <v>1387</v>
      </c>
      <c r="C684" s="15" t="s">
        <v>3108</v>
      </c>
      <c r="D684" s="16" t="s">
        <v>63</v>
      </c>
      <c r="E684" s="15" t="s">
        <v>169</v>
      </c>
      <c r="F684" s="15" t="s">
        <v>170</v>
      </c>
      <c r="G684" s="17" t="str">
        <f t="shared" si="10"/>
        <v>Small</v>
      </c>
      <c r="H684" s="3">
        <v>4158</v>
      </c>
      <c r="I684" s="4">
        <v>65.5</v>
      </c>
      <c r="J684" s="5">
        <v>69804.886964886959</v>
      </c>
      <c r="K684" s="6">
        <v>2.571932100165679E-3</v>
      </c>
      <c r="L684" s="5">
        <v>438.62643338143334</v>
      </c>
      <c r="M684" s="5">
        <v>0</v>
      </c>
      <c r="N684" s="11">
        <v>734.22236652236654</v>
      </c>
      <c r="O684" s="13">
        <v>2024</v>
      </c>
    </row>
    <row r="685" spans="1:15" ht="14.5" customHeight="1" x14ac:dyDescent="0.35">
      <c r="A685" s="20" t="s">
        <v>1388</v>
      </c>
      <c r="B685" s="15" t="s">
        <v>26</v>
      </c>
      <c r="C685" s="15" t="s">
        <v>3108</v>
      </c>
      <c r="D685" s="16" t="s">
        <v>26</v>
      </c>
      <c r="E685" s="15" t="s">
        <v>183</v>
      </c>
      <c r="F685" s="15" t="s">
        <v>170</v>
      </c>
      <c r="G685" s="17" t="str">
        <f t="shared" si="10"/>
        <v>Small</v>
      </c>
      <c r="H685" s="3">
        <v>7914</v>
      </c>
      <c r="I685" s="4">
        <v>27.3</v>
      </c>
      <c r="J685" s="5">
        <v>44788.599570381601</v>
      </c>
      <c r="K685" s="6">
        <v>3.9782514987707525E-3</v>
      </c>
      <c r="L685" s="5">
        <v>263.70445160475106</v>
      </c>
      <c r="M685" s="5">
        <v>435.47261940864291</v>
      </c>
      <c r="N685" s="11">
        <v>732.94219105382865</v>
      </c>
      <c r="O685" s="13">
        <v>2024</v>
      </c>
    </row>
    <row r="686" spans="1:15" ht="14.5" customHeight="1" x14ac:dyDescent="0.35">
      <c r="A686" s="20" t="s">
        <v>1389</v>
      </c>
      <c r="B686" s="15" t="s">
        <v>1390</v>
      </c>
      <c r="C686" s="15" t="s">
        <v>3108</v>
      </c>
      <c r="D686" s="16" t="s">
        <v>69</v>
      </c>
      <c r="E686" s="15" t="s">
        <v>173</v>
      </c>
      <c r="F686" s="15" t="s">
        <v>170</v>
      </c>
      <c r="G686" s="17" t="str">
        <f t="shared" si="10"/>
        <v>Small</v>
      </c>
      <c r="H686" s="3">
        <v>2756</v>
      </c>
      <c r="I686" s="4">
        <v>45.6</v>
      </c>
      <c r="J686" s="5">
        <v>79402.700290275767</v>
      </c>
      <c r="K686" s="6">
        <v>4.1709864966863758E-3</v>
      </c>
      <c r="L686" s="5">
        <v>393.78762336719882</v>
      </c>
      <c r="M686" s="5">
        <v>0</v>
      </c>
      <c r="N686" s="11">
        <v>499.85830551523946</v>
      </c>
      <c r="O686" s="13">
        <v>2024</v>
      </c>
    </row>
    <row r="687" spans="1:15" ht="14.5" customHeight="1" x14ac:dyDescent="0.35">
      <c r="A687" s="20" t="s">
        <v>1391</v>
      </c>
      <c r="B687" s="15" t="s">
        <v>1392</v>
      </c>
      <c r="C687" s="15" t="s">
        <v>3108</v>
      </c>
      <c r="D687" s="16" t="s">
        <v>89</v>
      </c>
      <c r="E687" s="15" t="s">
        <v>183</v>
      </c>
      <c r="F687" s="15" t="s">
        <v>170</v>
      </c>
      <c r="G687" s="17" t="str">
        <f t="shared" si="10"/>
        <v>Small</v>
      </c>
      <c r="H687" s="3">
        <v>2368</v>
      </c>
      <c r="I687" s="4">
        <v>29.5</v>
      </c>
      <c r="J687" s="5">
        <v>121213.49155405405</v>
      </c>
      <c r="K687" s="6">
        <v>5.1279214929956544E-3</v>
      </c>
      <c r="L687" s="5">
        <v>628.61589527027024</v>
      </c>
      <c r="M687" s="5">
        <v>0</v>
      </c>
      <c r="N687" s="11">
        <v>708.73956925675679</v>
      </c>
      <c r="O687" s="13">
        <v>2024</v>
      </c>
    </row>
    <row r="688" spans="1:15" ht="14.5" customHeight="1" x14ac:dyDescent="0.35">
      <c r="A688" s="20" t="s">
        <v>1393</v>
      </c>
      <c r="B688" s="15" t="s">
        <v>69</v>
      </c>
      <c r="C688" s="15" t="s">
        <v>3108</v>
      </c>
      <c r="D688" s="16" t="s">
        <v>69</v>
      </c>
      <c r="E688" s="15" t="s">
        <v>173</v>
      </c>
      <c r="F688" s="15" t="s">
        <v>170</v>
      </c>
      <c r="G688" s="17" t="str">
        <f t="shared" si="10"/>
        <v>Small</v>
      </c>
      <c r="H688" s="3">
        <v>3641</v>
      </c>
      <c r="I688" s="4">
        <v>53.9</v>
      </c>
      <c r="J688" s="5">
        <v>244809.11095852789</v>
      </c>
      <c r="K688" s="6">
        <v>4.5910025511382383E-4</v>
      </c>
      <c r="L688" s="5">
        <v>269.03516341664374</v>
      </c>
      <c r="M688" s="5">
        <v>0</v>
      </c>
      <c r="N688" s="11">
        <v>599.95582257621527</v>
      </c>
      <c r="O688" s="13">
        <v>2024</v>
      </c>
    </row>
    <row r="689" spans="1:15" ht="14.5" customHeight="1" x14ac:dyDescent="0.35">
      <c r="A689" s="20" t="s">
        <v>1394</v>
      </c>
      <c r="B689" s="15" t="s">
        <v>1395</v>
      </c>
      <c r="C689" s="15" t="s">
        <v>3108</v>
      </c>
      <c r="D689" s="16" t="s">
        <v>61</v>
      </c>
      <c r="E689" s="15" t="s">
        <v>173</v>
      </c>
      <c r="F689" s="15" t="s">
        <v>170</v>
      </c>
      <c r="G689" s="17" t="str">
        <f t="shared" si="10"/>
        <v>Small</v>
      </c>
      <c r="H689" s="3">
        <v>859</v>
      </c>
      <c r="I689" s="4">
        <v>38</v>
      </c>
      <c r="J689" s="5">
        <v>74065.735739231663</v>
      </c>
      <c r="K689" s="6">
        <v>3.0898204560348154E-3</v>
      </c>
      <c r="L689" s="5">
        <v>407.79394644935974</v>
      </c>
      <c r="M689" s="5">
        <v>1280.558789289872</v>
      </c>
      <c r="N689" s="11">
        <v>1361.0698486612339</v>
      </c>
      <c r="O689" s="13">
        <v>2024</v>
      </c>
    </row>
    <row r="690" spans="1:15" ht="14.5" customHeight="1" x14ac:dyDescent="0.35">
      <c r="A690" s="20" t="s">
        <v>1396</v>
      </c>
      <c r="B690" s="15" t="s">
        <v>1397</v>
      </c>
      <c r="C690" s="15" t="s">
        <v>3108</v>
      </c>
      <c r="D690" s="16" t="s">
        <v>65</v>
      </c>
      <c r="E690" s="15" t="s">
        <v>186</v>
      </c>
      <c r="F690" s="15" t="s">
        <v>170</v>
      </c>
      <c r="G690" s="17" t="str">
        <f t="shared" si="10"/>
        <v>Small</v>
      </c>
      <c r="H690" s="3">
        <v>777</v>
      </c>
      <c r="I690" s="4">
        <v>32.700000000000003</v>
      </c>
      <c r="J690" s="5">
        <v>116902.2574002574</v>
      </c>
      <c r="K690" s="6">
        <v>7.0938273197331883E-3</v>
      </c>
      <c r="L690" s="5">
        <v>1153.5095624195624</v>
      </c>
      <c r="M690" s="5">
        <v>69.340090090090087</v>
      </c>
      <c r="N690" s="11">
        <v>1341.0634234234235</v>
      </c>
      <c r="O690" s="13">
        <v>2024</v>
      </c>
    </row>
    <row r="691" spans="1:15" ht="14.5" customHeight="1" x14ac:dyDescent="0.35">
      <c r="A691" s="20" t="s">
        <v>1398</v>
      </c>
      <c r="B691" s="15" t="s">
        <v>1399</v>
      </c>
      <c r="C691" s="15" t="s">
        <v>3108</v>
      </c>
      <c r="D691" s="16" t="s">
        <v>588</v>
      </c>
      <c r="E691" s="15" t="s">
        <v>178</v>
      </c>
      <c r="F691" s="15" t="s">
        <v>170</v>
      </c>
      <c r="G691" s="17" t="str">
        <f t="shared" si="10"/>
        <v>Small</v>
      </c>
      <c r="H691" s="3">
        <v>2847</v>
      </c>
      <c r="I691" s="4">
        <v>30.9</v>
      </c>
      <c r="J691" s="5">
        <v>104578.27502634352</v>
      </c>
      <c r="K691" s="6">
        <v>3.540505163547657E-3</v>
      </c>
      <c r="L691" s="5">
        <v>417.6231225851775</v>
      </c>
      <c r="M691" s="5">
        <v>0</v>
      </c>
      <c r="N691" s="11">
        <v>569.71793818054095</v>
      </c>
      <c r="O691" s="13">
        <v>2024</v>
      </c>
    </row>
    <row r="692" spans="1:15" ht="14.5" customHeight="1" x14ac:dyDescent="0.35">
      <c r="A692" s="20" t="s">
        <v>1400</v>
      </c>
      <c r="B692" s="15" t="s">
        <v>1401</v>
      </c>
      <c r="C692" s="15" t="s">
        <v>3108</v>
      </c>
      <c r="D692" s="16" t="s">
        <v>5</v>
      </c>
      <c r="E692" s="15" t="s">
        <v>183</v>
      </c>
      <c r="F692" s="15" t="s">
        <v>170</v>
      </c>
      <c r="G692" s="17" t="str">
        <f t="shared" si="10"/>
        <v>Small</v>
      </c>
      <c r="H692" s="3">
        <v>3552</v>
      </c>
      <c r="I692" s="4">
        <v>20.9</v>
      </c>
      <c r="J692" s="5">
        <v>157385.35191441441</v>
      </c>
      <c r="K692" s="6">
        <v>1.9017194644957937E-3</v>
      </c>
      <c r="L692" s="5">
        <v>1018.983704954955</v>
      </c>
      <c r="M692" s="5">
        <v>3136.5744115990992</v>
      </c>
      <c r="N692" s="11">
        <v>1463.6499634009008</v>
      </c>
      <c r="O692" s="13">
        <v>2024</v>
      </c>
    </row>
    <row r="693" spans="1:15" ht="14.5" customHeight="1" x14ac:dyDescent="0.35">
      <c r="A693" s="20" t="s">
        <v>1402</v>
      </c>
      <c r="B693" s="15" t="s">
        <v>1403</v>
      </c>
      <c r="C693" s="15" t="s">
        <v>3108</v>
      </c>
      <c r="D693" s="16" t="s">
        <v>292</v>
      </c>
      <c r="E693" s="15" t="s">
        <v>173</v>
      </c>
      <c r="F693" s="15" t="s">
        <v>170</v>
      </c>
      <c r="G693" s="17" t="str">
        <f t="shared" si="10"/>
        <v>Medium</v>
      </c>
      <c r="H693" s="3">
        <v>18777</v>
      </c>
      <c r="I693" s="4">
        <v>104.2</v>
      </c>
      <c r="J693" s="5">
        <v>84803.525376790756</v>
      </c>
      <c r="K693" s="6" t="s">
        <v>27</v>
      </c>
      <c r="L693" s="5">
        <v>0</v>
      </c>
      <c r="M693" s="5">
        <v>0</v>
      </c>
      <c r="N693" s="11">
        <v>0</v>
      </c>
      <c r="O693" s="13">
        <v>2024</v>
      </c>
    </row>
    <row r="694" spans="1:15" ht="14.5" customHeight="1" x14ac:dyDescent="0.35">
      <c r="A694" s="20" t="s">
        <v>1404</v>
      </c>
      <c r="B694" s="15" t="s">
        <v>1405</v>
      </c>
      <c r="C694" s="15" t="s">
        <v>3108</v>
      </c>
      <c r="D694" s="16" t="s">
        <v>61</v>
      </c>
      <c r="E694" s="15" t="s">
        <v>173</v>
      </c>
      <c r="F694" s="15" t="s">
        <v>170</v>
      </c>
      <c r="G694" s="17" t="str">
        <f t="shared" si="10"/>
        <v>Small</v>
      </c>
      <c r="H694" s="3">
        <v>3614</v>
      </c>
      <c r="I694" s="4">
        <v>60.1</v>
      </c>
      <c r="J694" s="5">
        <v>63801.545932484783</v>
      </c>
      <c r="K694" s="6" t="s">
        <v>27</v>
      </c>
      <c r="L694" s="5">
        <v>0</v>
      </c>
      <c r="M694" s="5">
        <v>0</v>
      </c>
      <c r="N694" s="11">
        <v>0</v>
      </c>
      <c r="O694" s="13">
        <v>2024</v>
      </c>
    </row>
    <row r="695" spans="1:15" ht="14.5" customHeight="1" x14ac:dyDescent="0.35">
      <c r="A695" s="20" t="s">
        <v>1406</v>
      </c>
      <c r="B695" s="15" t="s">
        <v>1407</v>
      </c>
      <c r="C695" s="15" t="s">
        <v>3108</v>
      </c>
      <c r="D695" s="16" t="s">
        <v>30</v>
      </c>
      <c r="E695" s="15" t="s">
        <v>273</v>
      </c>
      <c r="F695" s="15" t="s">
        <v>208</v>
      </c>
      <c r="G695" s="17" t="str">
        <f t="shared" si="10"/>
        <v>Large</v>
      </c>
      <c r="H695" s="3">
        <v>301332</v>
      </c>
      <c r="I695" s="4">
        <v>103.8</v>
      </c>
      <c r="J695" s="5">
        <v>241922.34036544411</v>
      </c>
      <c r="K695" s="6">
        <v>3.8958152012890834E-3</v>
      </c>
      <c r="L695" s="5">
        <v>1006.9593670768455</v>
      </c>
      <c r="M695" s="5">
        <v>2751.8899253978998</v>
      </c>
      <c r="N695" s="11">
        <v>2044.1035170509604</v>
      </c>
      <c r="O695" s="13">
        <v>2024</v>
      </c>
    </row>
    <row r="696" spans="1:15" ht="14.5" customHeight="1" x14ac:dyDescent="0.35">
      <c r="A696" s="20" t="s">
        <v>1408</v>
      </c>
      <c r="B696" s="15" t="s">
        <v>1409</v>
      </c>
      <c r="C696" s="15" t="s">
        <v>3108</v>
      </c>
      <c r="D696" s="16" t="s">
        <v>3</v>
      </c>
      <c r="E696" s="15" t="s">
        <v>214</v>
      </c>
      <c r="F696" s="15" t="s">
        <v>170</v>
      </c>
      <c r="G696" s="17" t="str">
        <f t="shared" si="10"/>
        <v>Small</v>
      </c>
      <c r="H696" s="3">
        <v>3189</v>
      </c>
      <c r="I696" s="4">
        <v>41.1</v>
      </c>
      <c r="J696" s="5">
        <v>72201.895892129192</v>
      </c>
      <c r="K696" s="6">
        <v>2.6189019131685918E-3</v>
      </c>
      <c r="L696" s="5">
        <v>394.76015678896209</v>
      </c>
      <c r="M696" s="5">
        <v>0</v>
      </c>
      <c r="N696" s="11">
        <v>854.08289118846028</v>
      </c>
      <c r="O696" s="13">
        <v>2024</v>
      </c>
    </row>
    <row r="697" spans="1:15" ht="14.5" customHeight="1" x14ac:dyDescent="0.35">
      <c r="A697" s="20" t="s">
        <v>1410</v>
      </c>
      <c r="B697" s="15" t="s">
        <v>1411</v>
      </c>
      <c r="C697" s="15" t="s">
        <v>3108</v>
      </c>
      <c r="D697" s="16" t="s">
        <v>26</v>
      </c>
      <c r="E697" s="15" t="s">
        <v>183</v>
      </c>
      <c r="F697" s="15" t="s">
        <v>170</v>
      </c>
      <c r="G697" s="17" t="str">
        <f t="shared" si="10"/>
        <v>Small</v>
      </c>
      <c r="H697" s="3">
        <v>3470</v>
      </c>
      <c r="I697" s="4">
        <v>40.5</v>
      </c>
      <c r="J697" s="5">
        <v>62331.863976945242</v>
      </c>
      <c r="K697" s="6" t="s">
        <v>27</v>
      </c>
      <c r="L697" s="5">
        <v>0</v>
      </c>
      <c r="M697" s="5">
        <v>0</v>
      </c>
      <c r="N697" s="11">
        <v>0</v>
      </c>
      <c r="O697" s="13">
        <v>2024</v>
      </c>
    </row>
    <row r="698" spans="1:15" ht="14.5" customHeight="1" x14ac:dyDescent="0.35">
      <c r="A698" s="20" t="s">
        <v>1412</v>
      </c>
      <c r="B698" s="15" t="s">
        <v>1413</v>
      </c>
      <c r="C698" s="15" t="s">
        <v>3108</v>
      </c>
      <c r="D698" s="16" t="s">
        <v>53</v>
      </c>
      <c r="E698" s="15" t="s">
        <v>207</v>
      </c>
      <c r="F698" s="15" t="s">
        <v>208</v>
      </c>
      <c r="G698" s="17" t="str">
        <f t="shared" si="10"/>
        <v>Medium</v>
      </c>
      <c r="H698" s="3">
        <v>32954</v>
      </c>
      <c r="I698" s="4">
        <v>1.5</v>
      </c>
      <c r="J698" s="5">
        <v>38635.772834860712</v>
      </c>
      <c r="K698" s="6">
        <v>1.0995691310114446E-3</v>
      </c>
      <c r="L698" s="5">
        <v>42.784184014080232</v>
      </c>
      <c r="M698" s="5">
        <v>1.1465679431935425</v>
      </c>
      <c r="N698" s="11">
        <v>71.306548522182439</v>
      </c>
      <c r="O698" s="13">
        <v>2024</v>
      </c>
    </row>
    <row r="699" spans="1:15" ht="14.5" customHeight="1" x14ac:dyDescent="0.35">
      <c r="A699" s="20" t="s">
        <v>1414</v>
      </c>
      <c r="B699" s="15" t="s">
        <v>1415</v>
      </c>
      <c r="C699" s="15" t="s">
        <v>3108</v>
      </c>
      <c r="D699" s="16" t="s">
        <v>234</v>
      </c>
      <c r="E699" s="15" t="s">
        <v>178</v>
      </c>
      <c r="F699" s="15" t="s">
        <v>170</v>
      </c>
      <c r="G699" s="17" t="str">
        <f t="shared" si="10"/>
        <v>Small</v>
      </c>
      <c r="H699" s="3">
        <v>7403</v>
      </c>
      <c r="I699" s="4">
        <v>33.4</v>
      </c>
      <c r="J699" s="5">
        <v>67846.145751722273</v>
      </c>
      <c r="K699" s="6">
        <v>3.7125528294557693E-3</v>
      </c>
      <c r="L699" s="5">
        <v>354.96540186410908</v>
      </c>
      <c r="M699" s="5">
        <v>107.38889639335405</v>
      </c>
      <c r="N699" s="11">
        <v>445.21803593137918</v>
      </c>
      <c r="O699" s="13">
        <v>2024</v>
      </c>
    </row>
    <row r="700" spans="1:15" ht="14.5" customHeight="1" x14ac:dyDescent="0.35">
      <c r="A700" s="20" t="s">
        <v>1416</v>
      </c>
      <c r="B700" s="15" t="s">
        <v>1417</v>
      </c>
      <c r="C700" s="15" t="s">
        <v>3108</v>
      </c>
      <c r="D700" s="16" t="s">
        <v>94</v>
      </c>
      <c r="E700" s="15" t="s">
        <v>169</v>
      </c>
      <c r="F700" s="15" t="s">
        <v>170</v>
      </c>
      <c r="G700" s="17" t="str">
        <f t="shared" si="10"/>
        <v>Small</v>
      </c>
      <c r="H700" s="3">
        <v>3343</v>
      </c>
      <c r="I700" s="4">
        <v>33.799999999999997</v>
      </c>
      <c r="J700" s="5">
        <v>102481.28208196232</v>
      </c>
      <c r="K700" s="6" t="s">
        <v>27</v>
      </c>
      <c r="L700" s="5">
        <v>0</v>
      </c>
      <c r="M700" s="5">
        <v>0</v>
      </c>
      <c r="N700" s="11">
        <v>0</v>
      </c>
      <c r="O700" s="13">
        <v>2024</v>
      </c>
    </row>
    <row r="701" spans="1:15" ht="14.5" customHeight="1" x14ac:dyDescent="0.35">
      <c r="A701" s="20" t="s">
        <v>1418</v>
      </c>
      <c r="B701" s="15" t="s">
        <v>1419</v>
      </c>
      <c r="C701" s="15" t="s">
        <v>3108</v>
      </c>
      <c r="D701" s="16" t="s">
        <v>81</v>
      </c>
      <c r="E701" s="15" t="s">
        <v>214</v>
      </c>
      <c r="F701" s="15" t="s">
        <v>170</v>
      </c>
      <c r="G701" s="17" t="str">
        <f t="shared" si="10"/>
        <v>Small</v>
      </c>
      <c r="H701" s="3">
        <v>4332</v>
      </c>
      <c r="I701" s="4">
        <v>31.5</v>
      </c>
      <c r="J701" s="5">
        <v>87766.186518928895</v>
      </c>
      <c r="K701" s="6">
        <v>5.9284721808700582E-3</v>
      </c>
      <c r="L701" s="5">
        <v>845.92757386888275</v>
      </c>
      <c r="M701" s="5">
        <v>315.09695290858724</v>
      </c>
      <c r="N701" s="11">
        <v>1006.7268421052631</v>
      </c>
      <c r="O701" s="13">
        <v>2024</v>
      </c>
    </row>
    <row r="702" spans="1:15" ht="14.5" customHeight="1" x14ac:dyDescent="0.35">
      <c r="A702" s="20" t="s">
        <v>1420</v>
      </c>
      <c r="B702" s="15" t="s">
        <v>1421</v>
      </c>
      <c r="C702" s="15" t="s">
        <v>3108</v>
      </c>
      <c r="D702" s="16" t="s">
        <v>26</v>
      </c>
      <c r="E702" s="15" t="s">
        <v>183</v>
      </c>
      <c r="F702" s="15" t="s">
        <v>170</v>
      </c>
      <c r="G702" s="17" t="str">
        <f t="shared" si="10"/>
        <v>Small</v>
      </c>
      <c r="H702" s="3">
        <v>2398</v>
      </c>
      <c r="I702" s="4">
        <v>41.7</v>
      </c>
      <c r="J702" s="5">
        <v>73998.889908256882</v>
      </c>
      <c r="K702" s="6">
        <v>7.7457762057134318E-3</v>
      </c>
      <c r="L702" s="5">
        <v>644.08323603002509</v>
      </c>
      <c r="M702" s="5">
        <v>75.507089241034194</v>
      </c>
      <c r="N702" s="11">
        <v>723.95392827356136</v>
      </c>
      <c r="O702" s="13">
        <v>2024</v>
      </c>
    </row>
    <row r="703" spans="1:15" ht="14.5" customHeight="1" x14ac:dyDescent="0.35">
      <c r="A703" s="20" t="s">
        <v>1422</v>
      </c>
      <c r="B703" s="15" t="s">
        <v>1423</v>
      </c>
      <c r="C703" s="15" t="s">
        <v>3108</v>
      </c>
      <c r="D703" s="16" t="s">
        <v>63</v>
      </c>
      <c r="E703" s="15" t="s">
        <v>169</v>
      </c>
      <c r="F703" s="15" t="s">
        <v>170</v>
      </c>
      <c r="G703" s="17" t="str">
        <f t="shared" si="10"/>
        <v>Small</v>
      </c>
      <c r="H703" s="3">
        <v>2038</v>
      </c>
      <c r="I703" s="4">
        <v>98.2</v>
      </c>
      <c r="J703" s="5">
        <v>115180.49509322866</v>
      </c>
      <c r="K703" s="6">
        <v>4.3048021625178984E-3</v>
      </c>
      <c r="L703" s="5">
        <v>886.24480863591748</v>
      </c>
      <c r="M703" s="5">
        <v>458.29244357212951</v>
      </c>
      <c r="N703" s="11">
        <v>1524.6365652600589</v>
      </c>
      <c r="O703" s="13">
        <v>2024</v>
      </c>
    </row>
    <row r="704" spans="1:15" ht="14.5" customHeight="1" x14ac:dyDescent="0.35">
      <c r="A704" s="20" t="s">
        <v>1424</v>
      </c>
      <c r="B704" s="15" t="s">
        <v>1425</v>
      </c>
      <c r="C704" s="15" t="s">
        <v>3108</v>
      </c>
      <c r="D704" s="16" t="s">
        <v>79</v>
      </c>
      <c r="E704" s="15" t="s">
        <v>178</v>
      </c>
      <c r="F704" s="15" t="s">
        <v>170</v>
      </c>
      <c r="G704" s="17" t="str">
        <f t="shared" ref="G704:G767" si="11">IF(H704&lt;=10000,"Small",(IF(H704&lt;=100000,"Medium",IF(H704&gt;100000,"Large"))))</f>
        <v>Medium</v>
      </c>
      <c r="H704" s="3">
        <v>16217</v>
      </c>
      <c r="I704" s="4">
        <v>42</v>
      </c>
      <c r="J704" s="5">
        <v>86549.925263612255</v>
      </c>
      <c r="K704" s="6">
        <v>2.0960007343734585E-3</v>
      </c>
      <c r="L704" s="5">
        <v>294.00038786458663</v>
      </c>
      <c r="M704" s="5">
        <v>34.572295122402416</v>
      </c>
      <c r="N704" s="11">
        <v>496.9496491336252</v>
      </c>
      <c r="O704" s="13">
        <v>2024</v>
      </c>
    </row>
    <row r="705" spans="1:15" ht="14.5" customHeight="1" x14ac:dyDescent="0.35">
      <c r="A705" s="20" t="s">
        <v>1426</v>
      </c>
      <c r="B705" s="15" t="s">
        <v>1427</v>
      </c>
      <c r="C705" s="15" t="s">
        <v>3108</v>
      </c>
      <c r="D705" s="16" t="s">
        <v>438</v>
      </c>
      <c r="E705" s="15" t="s">
        <v>207</v>
      </c>
      <c r="F705" s="15" t="s">
        <v>208</v>
      </c>
      <c r="G705" s="17" t="str">
        <f t="shared" si="11"/>
        <v>Medium</v>
      </c>
      <c r="H705" s="3">
        <v>11541</v>
      </c>
      <c r="I705" s="4">
        <v>32.200000000000003</v>
      </c>
      <c r="J705" s="5">
        <v>140374.07070444501</v>
      </c>
      <c r="K705" s="6">
        <v>6.8693823548138409E-3</v>
      </c>
      <c r="L705" s="5">
        <v>995.20968720214887</v>
      </c>
      <c r="M705" s="5">
        <v>277.70557144094965</v>
      </c>
      <c r="N705" s="11">
        <v>1278.1246859024347</v>
      </c>
      <c r="O705" s="13">
        <v>2024</v>
      </c>
    </row>
    <row r="706" spans="1:15" ht="14.5" customHeight="1" x14ac:dyDescent="0.35">
      <c r="A706" s="20" t="s">
        <v>1428</v>
      </c>
      <c r="B706" s="15" t="s">
        <v>1429</v>
      </c>
      <c r="C706" s="15" t="s">
        <v>3108</v>
      </c>
      <c r="D706" s="16" t="s">
        <v>7</v>
      </c>
      <c r="E706" s="15" t="s">
        <v>178</v>
      </c>
      <c r="F706" s="15" t="s">
        <v>170</v>
      </c>
      <c r="G706" s="17" t="str">
        <f t="shared" si="11"/>
        <v>Small</v>
      </c>
      <c r="H706" s="3">
        <v>2290</v>
      </c>
      <c r="I706" s="4">
        <v>35.6</v>
      </c>
      <c r="J706" s="5">
        <v>79017.825327510916</v>
      </c>
      <c r="K706" s="6">
        <v>2.9947308334938739E-3</v>
      </c>
      <c r="L706" s="5">
        <v>476.77816593886462</v>
      </c>
      <c r="M706" s="5">
        <v>829.30393013100434</v>
      </c>
      <c r="N706" s="11">
        <v>963.18165938864627</v>
      </c>
      <c r="O706" s="13">
        <v>2024</v>
      </c>
    </row>
    <row r="707" spans="1:15" ht="14.5" customHeight="1" x14ac:dyDescent="0.35">
      <c r="A707" s="20" t="s">
        <v>1430</v>
      </c>
      <c r="B707" s="15" t="s">
        <v>1431</v>
      </c>
      <c r="C707" s="15" t="s">
        <v>3108</v>
      </c>
      <c r="D707" s="16" t="s">
        <v>9</v>
      </c>
      <c r="E707" s="15" t="s">
        <v>207</v>
      </c>
      <c r="F707" s="15" t="s">
        <v>208</v>
      </c>
      <c r="G707" s="17" t="str">
        <f t="shared" si="11"/>
        <v>Small</v>
      </c>
      <c r="H707" s="3">
        <v>8012</v>
      </c>
      <c r="I707" s="4">
        <v>43.8</v>
      </c>
      <c r="J707" s="5">
        <v>203236.10521717425</v>
      </c>
      <c r="K707" s="6">
        <v>2.8477621987233006E-3</v>
      </c>
      <c r="L707" s="5">
        <v>675.34861582626058</v>
      </c>
      <c r="M707" s="5">
        <v>888.96093359960059</v>
      </c>
      <c r="N707" s="11">
        <v>1262.8568347478783</v>
      </c>
      <c r="O707" s="13">
        <v>2024</v>
      </c>
    </row>
    <row r="708" spans="1:15" ht="14.5" customHeight="1" x14ac:dyDescent="0.35">
      <c r="A708" s="20" t="s">
        <v>1432</v>
      </c>
      <c r="B708" s="15" t="s">
        <v>1433</v>
      </c>
      <c r="C708" s="15" t="s">
        <v>3108</v>
      </c>
      <c r="D708" s="16" t="s">
        <v>55</v>
      </c>
      <c r="E708" s="15" t="s">
        <v>207</v>
      </c>
      <c r="F708" s="15" t="s">
        <v>208</v>
      </c>
      <c r="G708" s="17" t="str">
        <f t="shared" si="11"/>
        <v>Medium</v>
      </c>
      <c r="H708" s="3">
        <v>13078</v>
      </c>
      <c r="I708" s="4">
        <v>2.2000000000000002</v>
      </c>
      <c r="J708" s="5">
        <v>322036.74063312431</v>
      </c>
      <c r="K708" s="6">
        <v>7.7528438554161263E-4</v>
      </c>
      <c r="L708" s="5">
        <v>260.27267166233366</v>
      </c>
      <c r="M708" s="5">
        <v>0</v>
      </c>
      <c r="N708" s="11">
        <v>533.46918489065604</v>
      </c>
      <c r="O708" s="13">
        <v>2024</v>
      </c>
    </row>
    <row r="709" spans="1:15" ht="14.5" customHeight="1" x14ac:dyDescent="0.35">
      <c r="A709" s="20" t="s">
        <v>1434</v>
      </c>
      <c r="B709" s="15" t="s">
        <v>1435</v>
      </c>
      <c r="C709" s="15" t="s">
        <v>3108</v>
      </c>
      <c r="D709" s="16" t="s">
        <v>7</v>
      </c>
      <c r="E709" s="15" t="s">
        <v>178</v>
      </c>
      <c r="F709" s="15" t="s">
        <v>170</v>
      </c>
      <c r="G709" s="17" t="str">
        <f t="shared" si="11"/>
        <v>Small</v>
      </c>
      <c r="H709" s="3">
        <v>4264</v>
      </c>
      <c r="I709" s="4">
        <v>41.6</v>
      </c>
      <c r="J709" s="5">
        <v>91629.916510318944</v>
      </c>
      <c r="K709" s="6">
        <v>1.126449388426654E-3</v>
      </c>
      <c r="L709" s="5">
        <v>539.72232645403381</v>
      </c>
      <c r="M709" s="5">
        <v>1096.3883677298311</v>
      </c>
      <c r="N709" s="11">
        <v>786.70028142589115</v>
      </c>
      <c r="O709" s="13">
        <v>2024</v>
      </c>
    </row>
    <row r="710" spans="1:15" ht="14.5" customHeight="1" x14ac:dyDescent="0.35">
      <c r="A710" s="20" t="s">
        <v>1436</v>
      </c>
      <c r="B710" s="15" t="s">
        <v>1437</v>
      </c>
      <c r="C710" s="15" t="s">
        <v>3108</v>
      </c>
      <c r="D710" s="16" t="s">
        <v>48</v>
      </c>
      <c r="E710" s="15" t="s">
        <v>186</v>
      </c>
      <c r="F710" s="15" t="s">
        <v>170</v>
      </c>
      <c r="G710" s="17" t="str">
        <f t="shared" si="11"/>
        <v>Small</v>
      </c>
      <c r="H710" s="3">
        <v>7035</v>
      </c>
      <c r="I710" s="4">
        <v>27.1</v>
      </c>
      <c r="J710" s="5">
        <v>146919.49154228857</v>
      </c>
      <c r="K710" s="6">
        <v>1.5445278805848522E-3</v>
      </c>
      <c r="L710" s="5">
        <v>592.66567164179105</v>
      </c>
      <c r="M710" s="5">
        <v>278.88713574982233</v>
      </c>
      <c r="N710" s="11">
        <v>1164.973987206823</v>
      </c>
      <c r="O710" s="13">
        <v>2024</v>
      </c>
    </row>
    <row r="711" spans="1:15" ht="14.5" customHeight="1" x14ac:dyDescent="0.35">
      <c r="A711" s="20" t="s">
        <v>1438</v>
      </c>
      <c r="B711" s="15" t="s">
        <v>1439</v>
      </c>
      <c r="C711" s="15" t="s">
        <v>3108</v>
      </c>
      <c r="D711" s="16" t="s">
        <v>79</v>
      </c>
      <c r="E711" s="15" t="s">
        <v>178</v>
      </c>
      <c r="F711" s="15" t="s">
        <v>170</v>
      </c>
      <c r="G711" s="17" t="str">
        <f t="shared" si="11"/>
        <v>Medium</v>
      </c>
      <c r="H711" s="3">
        <v>39438</v>
      </c>
      <c r="I711" s="4">
        <v>37.200000000000003</v>
      </c>
      <c r="J711" s="5">
        <v>117950.68335108271</v>
      </c>
      <c r="K711" s="6">
        <v>2.0215996423961057E-3</v>
      </c>
      <c r="L711" s="5">
        <v>481.36254373954057</v>
      </c>
      <c r="M711" s="5">
        <v>536.5383640144023</v>
      </c>
      <c r="N711" s="11">
        <v>840.87332014808055</v>
      </c>
      <c r="O711" s="13">
        <v>2024</v>
      </c>
    </row>
    <row r="712" spans="1:15" ht="14.5" customHeight="1" x14ac:dyDescent="0.35">
      <c r="A712" s="20" t="s">
        <v>1440</v>
      </c>
      <c r="B712" s="15" t="s">
        <v>1441</v>
      </c>
      <c r="C712" s="15" t="s">
        <v>3108</v>
      </c>
      <c r="D712" s="16" t="s">
        <v>79</v>
      </c>
      <c r="E712" s="15" t="s">
        <v>178</v>
      </c>
      <c r="F712" s="15" t="s">
        <v>170</v>
      </c>
      <c r="G712" s="17" t="str">
        <f t="shared" si="11"/>
        <v>Medium</v>
      </c>
      <c r="H712" s="3">
        <v>47479</v>
      </c>
      <c r="I712" s="4">
        <v>34.200000000000003</v>
      </c>
      <c r="J712" s="5">
        <v>128204.60949051159</v>
      </c>
      <c r="K712" s="6">
        <v>2.7901428670169255E-3</v>
      </c>
      <c r="L712" s="5">
        <v>532.40550559194594</v>
      </c>
      <c r="M712" s="5">
        <v>340.25569199014302</v>
      </c>
      <c r="N712" s="11">
        <v>730.59154573600961</v>
      </c>
      <c r="O712" s="13">
        <v>2024</v>
      </c>
    </row>
    <row r="713" spans="1:15" ht="14.5" customHeight="1" x14ac:dyDescent="0.35">
      <c r="A713" s="20" t="s">
        <v>1442</v>
      </c>
      <c r="B713" s="15" t="s">
        <v>1443</v>
      </c>
      <c r="C713" s="15" t="s">
        <v>3108</v>
      </c>
      <c r="D713" s="16" t="s">
        <v>231</v>
      </c>
      <c r="E713" s="15" t="s">
        <v>178</v>
      </c>
      <c r="F713" s="15" t="s">
        <v>170</v>
      </c>
      <c r="G713" s="17" t="str">
        <f t="shared" si="11"/>
        <v>Small</v>
      </c>
      <c r="H713" s="3">
        <v>5832</v>
      </c>
      <c r="I713" s="4">
        <v>36.4</v>
      </c>
      <c r="J713" s="5">
        <v>47357.080075445818</v>
      </c>
      <c r="K713" s="6">
        <v>3.7839131313631117E-3</v>
      </c>
      <c r="L713" s="5">
        <v>185.82917866941011</v>
      </c>
      <c r="M713" s="5">
        <v>17.146733539094651</v>
      </c>
      <c r="N713" s="11">
        <v>296.17901748971195</v>
      </c>
      <c r="O713" s="13">
        <v>2024</v>
      </c>
    </row>
    <row r="714" spans="1:15" ht="14.5" customHeight="1" x14ac:dyDescent="0.35">
      <c r="A714" s="20" t="s">
        <v>1444</v>
      </c>
      <c r="B714" s="15" t="s">
        <v>1445</v>
      </c>
      <c r="C714" s="15" t="s">
        <v>3108</v>
      </c>
      <c r="D714" s="16" t="s">
        <v>65</v>
      </c>
      <c r="E714" s="15" t="s">
        <v>186</v>
      </c>
      <c r="F714" s="15" t="s">
        <v>170</v>
      </c>
      <c r="G714" s="17" t="str">
        <f t="shared" si="11"/>
        <v>Small</v>
      </c>
      <c r="H714" s="3">
        <v>1518</v>
      </c>
      <c r="I714" s="4">
        <v>28.4</v>
      </c>
      <c r="J714" s="5">
        <v>96299.650197628464</v>
      </c>
      <c r="K714" s="6">
        <v>4.3037190630045713E-3</v>
      </c>
      <c r="L714" s="5">
        <v>692.26745718050063</v>
      </c>
      <c r="M714" s="5">
        <v>1390.4176548089592</v>
      </c>
      <c r="N714" s="11">
        <v>1266.859025032938</v>
      </c>
      <c r="O714" s="13">
        <v>2024</v>
      </c>
    </row>
    <row r="715" spans="1:15" ht="14.5" customHeight="1" x14ac:dyDescent="0.35">
      <c r="A715" s="20" t="s">
        <v>1446</v>
      </c>
      <c r="B715" s="15" t="s">
        <v>1447</v>
      </c>
      <c r="C715" s="15" t="s">
        <v>3108</v>
      </c>
      <c r="D715" s="16" t="s">
        <v>65</v>
      </c>
      <c r="E715" s="15" t="s">
        <v>186</v>
      </c>
      <c r="F715" s="15" t="s">
        <v>170</v>
      </c>
      <c r="G715" s="17" t="str">
        <f t="shared" si="11"/>
        <v>Small</v>
      </c>
      <c r="H715" s="3">
        <v>2207</v>
      </c>
      <c r="I715" s="4">
        <v>20.9</v>
      </c>
      <c r="J715" s="5">
        <v>57342.87086542818</v>
      </c>
      <c r="K715" s="6">
        <v>2.9169682071096656E-3</v>
      </c>
      <c r="L715" s="5">
        <v>226.32895333031263</v>
      </c>
      <c r="M715" s="5">
        <v>0</v>
      </c>
      <c r="N715" s="11">
        <v>290.85772541912098</v>
      </c>
      <c r="O715" s="13">
        <v>2024</v>
      </c>
    </row>
    <row r="716" spans="1:15" ht="14.5" customHeight="1" x14ac:dyDescent="0.35">
      <c r="A716" s="20" t="s">
        <v>1448</v>
      </c>
      <c r="B716" s="15" t="s">
        <v>1449</v>
      </c>
      <c r="C716" s="15" t="s">
        <v>3108</v>
      </c>
      <c r="D716" s="16" t="s">
        <v>34</v>
      </c>
      <c r="E716" s="15" t="s">
        <v>214</v>
      </c>
      <c r="F716" s="15" t="s">
        <v>170</v>
      </c>
      <c r="G716" s="17" t="str">
        <f t="shared" si="11"/>
        <v>Small</v>
      </c>
      <c r="H716" s="3">
        <v>3584</v>
      </c>
      <c r="I716" s="4">
        <v>26.1</v>
      </c>
      <c r="J716" s="5">
        <v>95816.970424107145</v>
      </c>
      <c r="K716" s="6">
        <v>2.2301808663048647E-3</v>
      </c>
      <c r="L716" s="5">
        <v>466.30782924107143</v>
      </c>
      <c r="M716" s="5">
        <v>0</v>
      </c>
      <c r="N716" s="11">
        <v>521.90798270089283</v>
      </c>
      <c r="O716" s="13">
        <v>2024</v>
      </c>
    </row>
    <row r="717" spans="1:15" ht="14.5" customHeight="1" x14ac:dyDescent="0.35">
      <c r="A717" s="20" t="s">
        <v>1450</v>
      </c>
      <c r="B717" s="15" t="s">
        <v>1451</v>
      </c>
      <c r="C717" s="15" t="s">
        <v>3108</v>
      </c>
      <c r="D717" s="16" t="s">
        <v>73</v>
      </c>
      <c r="E717" s="15" t="s">
        <v>169</v>
      </c>
      <c r="F717" s="15" t="s">
        <v>170</v>
      </c>
      <c r="G717" s="17" t="str">
        <f t="shared" si="11"/>
        <v>Small</v>
      </c>
      <c r="H717" s="3">
        <v>6772</v>
      </c>
      <c r="I717" s="4">
        <v>78.900000000000006</v>
      </c>
      <c r="J717" s="5">
        <v>94429.162433549907</v>
      </c>
      <c r="K717" s="6">
        <v>4.2862114262207833E-3</v>
      </c>
      <c r="L717" s="5">
        <v>415.78411252215005</v>
      </c>
      <c r="M717" s="5">
        <v>1801.9787359716479</v>
      </c>
      <c r="N717" s="11">
        <v>819.42361488481981</v>
      </c>
      <c r="O717" s="13">
        <v>2024</v>
      </c>
    </row>
    <row r="718" spans="1:15" ht="14.5" customHeight="1" x14ac:dyDescent="0.35">
      <c r="A718" s="20" t="s">
        <v>1452</v>
      </c>
      <c r="B718" s="15" t="s">
        <v>1453</v>
      </c>
      <c r="C718" s="15" t="s">
        <v>3108</v>
      </c>
      <c r="D718" s="16" t="s">
        <v>77</v>
      </c>
      <c r="E718" s="15" t="s">
        <v>217</v>
      </c>
      <c r="F718" s="15" t="s">
        <v>170</v>
      </c>
      <c r="G718" s="17" t="str">
        <f t="shared" si="11"/>
        <v>Small</v>
      </c>
      <c r="H718" s="3">
        <v>1372</v>
      </c>
      <c r="I718" s="4">
        <v>41.6</v>
      </c>
      <c r="J718" s="5">
        <v>101150.03498542274</v>
      </c>
      <c r="K718" s="6">
        <v>5.0353281166314098E-3</v>
      </c>
      <c r="L718" s="5">
        <v>650.9929154518951</v>
      </c>
      <c r="M718" s="5">
        <v>15.65597667638484</v>
      </c>
      <c r="N718" s="11">
        <v>1137.3822594752187</v>
      </c>
      <c r="O718" s="13">
        <v>2024</v>
      </c>
    </row>
    <row r="719" spans="1:15" ht="14.5" customHeight="1" x14ac:dyDescent="0.35">
      <c r="A719" s="20" t="s">
        <v>1454</v>
      </c>
      <c r="B719" s="15" t="s">
        <v>1455</v>
      </c>
      <c r="C719" s="15" t="s">
        <v>3108</v>
      </c>
      <c r="D719" s="16" t="s">
        <v>61</v>
      </c>
      <c r="E719" s="15" t="s">
        <v>173</v>
      </c>
      <c r="F719" s="15" t="s">
        <v>170</v>
      </c>
      <c r="G719" s="17" t="str">
        <f t="shared" si="11"/>
        <v>Small</v>
      </c>
      <c r="H719" s="3">
        <v>516</v>
      </c>
      <c r="I719" s="4">
        <v>38.799999999999997</v>
      </c>
      <c r="J719" s="5">
        <v>130578.05232558139</v>
      </c>
      <c r="K719" s="6">
        <v>2.4108957969018944E-3</v>
      </c>
      <c r="L719" s="5">
        <v>848.75</v>
      </c>
      <c r="M719" s="5">
        <v>0</v>
      </c>
      <c r="N719" s="11">
        <v>1545.9108527131782</v>
      </c>
      <c r="O719" s="13">
        <v>2024</v>
      </c>
    </row>
    <row r="720" spans="1:15" ht="14.5" customHeight="1" x14ac:dyDescent="0.35">
      <c r="A720" s="20" t="s">
        <v>1456</v>
      </c>
      <c r="B720" s="15" t="s">
        <v>1457</v>
      </c>
      <c r="C720" s="15" t="s">
        <v>3108</v>
      </c>
      <c r="D720" s="16" t="s">
        <v>15</v>
      </c>
      <c r="E720" s="15" t="s">
        <v>178</v>
      </c>
      <c r="F720" s="15" t="s">
        <v>170</v>
      </c>
      <c r="G720" s="17" t="str">
        <f t="shared" si="11"/>
        <v>Small</v>
      </c>
      <c r="H720" s="3">
        <v>6637</v>
      </c>
      <c r="I720" s="4">
        <v>65</v>
      </c>
      <c r="J720" s="5">
        <v>92537.685852041584</v>
      </c>
      <c r="K720" s="6">
        <v>3.2983186334514252E-3</v>
      </c>
      <c r="L720" s="5">
        <v>598.57660539400331</v>
      </c>
      <c r="M720" s="5">
        <v>674.25041434383002</v>
      </c>
      <c r="N720" s="11">
        <v>963.02149766460741</v>
      </c>
      <c r="O720" s="13">
        <v>2024</v>
      </c>
    </row>
    <row r="721" spans="1:15" ht="14.5" customHeight="1" x14ac:dyDescent="0.35">
      <c r="A721" s="20" t="s">
        <v>1458</v>
      </c>
      <c r="B721" s="15" t="s">
        <v>1459</v>
      </c>
      <c r="C721" s="15" t="s">
        <v>3108</v>
      </c>
      <c r="D721" s="16" t="s">
        <v>94</v>
      </c>
      <c r="E721" s="15" t="s">
        <v>169</v>
      </c>
      <c r="F721" s="15" t="s">
        <v>170</v>
      </c>
      <c r="G721" s="17" t="str">
        <f t="shared" si="11"/>
        <v>Small</v>
      </c>
      <c r="H721" s="3">
        <v>1975</v>
      </c>
      <c r="I721" s="4">
        <v>37.6</v>
      </c>
      <c r="J721" s="5">
        <v>58390.222784810125</v>
      </c>
      <c r="K721" s="6">
        <v>6.7754103795251317E-3</v>
      </c>
      <c r="L721" s="5">
        <v>526.49063291139237</v>
      </c>
      <c r="M721" s="5">
        <v>0</v>
      </c>
      <c r="N721" s="11">
        <v>728.8962025316456</v>
      </c>
      <c r="O721" s="13">
        <v>2024</v>
      </c>
    </row>
    <row r="722" spans="1:15" ht="14.5" customHeight="1" x14ac:dyDescent="0.35">
      <c r="A722" s="20" t="s">
        <v>1460</v>
      </c>
      <c r="B722" s="15" t="s">
        <v>1461</v>
      </c>
      <c r="C722" s="15" t="s">
        <v>3108</v>
      </c>
      <c r="D722" s="16" t="s">
        <v>438</v>
      </c>
      <c r="E722" s="15" t="s">
        <v>207</v>
      </c>
      <c r="F722" s="15" t="s">
        <v>208</v>
      </c>
      <c r="G722" s="17" t="str">
        <f t="shared" si="11"/>
        <v>Small</v>
      </c>
      <c r="H722" s="3">
        <v>9831</v>
      </c>
      <c r="I722" s="4">
        <v>48.8</v>
      </c>
      <c r="J722" s="5">
        <v>307967.43098362326</v>
      </c>
      <c r="K722" s="6">
        <v>2.5782379736058272E-3</v>
      </c>
      <c r="L722" s="5">
        <v>809.77387854745189</v>
      </c>
      <c r="M722" s="5">
        <v>553.70014545824426</v>
      </c>
      <c r="N722" s="11">
        <v>1151.0263452344625</v>
      </c>
      <c r="O722" s="13">
        <v>2024</v>
      </c>
    </row>
    <row r="723" spans="1:15" ht="14.5" customHeight="1" x14ac:dyDescent="0.35">
      <c r="A723" s="20" t="s">
        <v>1462</v>
      </c>
      <c r="B723" s="15" t="s">
        <v>1463</v>
      </c>
      <c r="C723" s="15" t="s">
        <v>3108</v>
      </c>
      <c r="D723" s="16" t="s">
        <v>63</v>
      </c>
      <c r="E723" s="15" t="s">
        <v>169</v>
      </c>
      <c r="F723" s="15" t="s">
        <v>170</v>
      </c>
      <c r="G723" s="17" t="str">
        <f t="shared" si="11"/>
        <v>Small</v>
      </c>
      <c r="H723" s="3">
        <v>282</v>
      </c>
      <c r="I723" s="4">
        <v>104.2</v>
      </c>
      <c r="J723" s="5">
        <v>555921.11347517732</v>
      </c>
      <c r="K723" s="6">
        <v>3.133939981815625E-3</v>
      </c>
      <c r="L723" s="5">
        <v>3092.3682624113476</v>
      </c>
      <c r="M723" s="5">
        <v>1224.6530141843973</v>
      </c>
      <c r="N723" s="11">
        <v>4915.5179787234047</v>
      </c>
      <c r="O723" s="13">
        <v>2024</v>
      </c>
    </row>
    <row r="724" spans="1:15" ht="14.5" customHeight="1" x14ac:dyDescent="0.35">
      <c r="A724" s="20" t="s">
        <v>1464</v>
      </c>
      <c r="B724" s="15" t="s">
        <v>1465</v>
      </c>
      <c r="C724" s="15" t="s">
        <v>3108</v>
      </c>
      <c r="D724" s="16" t="s">
        <v>63</v>
      </c>
      <c r="E724" s="15" t="s">
        <v>169</v>
      </c>
      <c r="F724" s="15" t="s">
        <v>170</v>
      </c>
      <c r="G724" s="17" t="str">
        <f t="shared" si="11"/>
        <v>Small</v>
      </c>
      <c r="H724" s="3">
        <v>2523</v>
      </c>
      <c r="I724" s="4">
        <v>60.3</v>
      </c>
      <c r="J724" s="5">
        <v>85704.789139912798</v>
      </c>
      <c r="K724" s="6">
        <v>5.3294086689738094E-3</v>
      </c>
      <c r="L724" s="5">
        <v>788.6618430439953</v>
      </c>
      <c r="M724" s="5">
        <v>14.424593737613952</v>
      </c>
      <c r="N724" s="11">
        <v>1120.2510860087198</v>
      </c>
      <c r="O724" s="13">
        <v>2024</v>
      </c>
    </row>
    <row r="725" spans="1:15" ht="14.5" customHeight="1" x14ac:dyDescent="0.35">
      <c r="A725" s="20" t="s">
        <v>1466</v>
      </c>
      <c r="B725" s="15" t="s">
        <v>1467</v>
      </c>
      <c r="C725" s="15" t="s">
        <v>3108</v>
      </c>
      <c r="D725" s="16" t="s">
        <v>231</v>
      </c>
      <c r="E725" s="15" t="s">
        <v>178</v>
      </c>
      <c r="F725" s="15" t="s">
        <v>170</v>
      </c>
      <c r="G725" s="17" t="str">
        <f t="shared" si="11"/>
        <v>Small</v>
      </c>
      <c r="H725" s="3">
        <v>975</v>
      </c>
      <c r="I725" s="4">
        <v>31.1</v>
      </c>
      <c r="J725" s="5">
        <v>81487.629743589743</v>
      </c>
      <c r="K725" s="6">
        <v>7.4379198836144874E-3</v>
      </c>
      <c r="L725" s="5">
        <v>622.59782564102568</v>
      </c>
      <c r="M725" s="5">
        <v>271.79487179487177</v>
      </c>
      <c r="N725" s="11">
        <v>1118.6605743589744</v>
      </c>
      <c r="O725" s="13">
        <v>2024</v>
      </c>
    </row>
    <row r="726" spans="1:15" ht="14.5" customHeight="1" x14ac:dyDescent="0.35">
      <c r="A726" s="20" t="s">
        <v>1468</v>
      </c>
      <c r="B726" s="15" t="s">
        <v>1469</v>
      </c>
      <c r="C726" s="15" t="s">
        <v>3108</v>
      </c>
      <c r="D726" s="16" t="s">
        <v>597</v>
      </c>
      <c r="E726" s="15" t="s">
        <v>169</v>
      </c>
      <c r="F726" s="15" t="s">
        <v>170</v>
      </c>
      <c r="G726" s="17" t="str">
        <f t="shared" si="11"/>
        <v>Small</v>
      </c>
      <c r="H726" s="3">
        <v>313</v>
      </c>
      <c r="I726" s="4">
        <v>41</v>
      </c>
      <c r="J726" s="5">
        <v>153964.87220447283</v>
      </c>
      <c r="K726" s="6">
        <v>8.5288945520019775E-3</v>
      </c>
      <c r="L726" s="5">
        <v>1343.5239616613419</v>
      </c>
      <c r="M726" s="5">
        <v>550.15015974440894</v>
      </c>
      <c r="N726" s="11">
        <v>2233.623003194888</v>
      </c>
      <c r="O726" s="13">
        <v>2024</v>
      </c>
    </row>
    <row r="727" spans="1:15" ht="14.5" customHeight="1" x14ac:dyDescent="0.35">
      <c r="A727" s="20" t="s">
        <v>1470</v>
      </c>
      <c r="B727" s="15" t="s">
        <v>1471</v>
      </c>
      <c r="C727" s="15" t="s">
        <v>3108</v>
      </c>
      <c r="D727" s="16" t="s">
        <v>9</v>
      </c>
      <c r="E727" s="15" t="s">
        <v>207</v>
      </c>
      <c r="F727" s="15" t="s">
        <v>208</v>
      </c>
      <c r="G727" s="17" t="str">
        <f t="shared" si="11"/>
        <v>Small</v>
      </c>
      <c r="H727" s="3">
        <v>2218</v>
      </c>
      <c r="I727" s="4">
        <v>30.6</v>
      </c>
      <c r="J727" s="5">
        <v>220794.673128945</v>
      </c>
      <c r="K727" s="6">
        <v>3.3158037830744525E-3</v>
      </c>
      <c r="L727" s="5">
        <v>834.67763751127143</v>
      </c>
      <c r="M727" s="5">
        <v>333.94815148782686</v>
      </c>
      <c r="N727" s="11">
        <v>1415.4616771866547</v>
      </c>
      <c r="O727" s="13">
        <v>2024</v>
      </c>
    </row>
    <row r="728" spans="1:15" ht="14.5" customHeight="1" x14ac:dyDescent="0.35">
      <c r="A728" s="20" t="s">
        <v>1472</v>
      </c>
      <c r="B728" s="15" t="s">
        <v>1473</v>
      </c>
      <c r="C728" s="15" t="s">
        <v>3108</v>
      </c>
      <c r="D728" s="16" t="s">
        <v>63</v>
      </c>
      <c r="E728" s="15" t="s">
        <v>169</v>
      </c>
      <c r="F728" s="15" t="s">
        <v>170</v>
      </c>
      <c r="G728" s="17" t="str">
        <f t="shared" si="11"/>
        <v>Small</v>
      </c>
      <c r="H728" s="3">
        <v>790</v>
      </c>
      <c r="I728" s="4">
        <v>58.5</v>
      </c>
      <c r="J728" s="5">
        <v>102496.44050632912</v>
      </c>
      <c r="K728" s="6" t="s">
        <v>27</v>
      </c>
      <c r="L728" s="5">
        <v>0</v>
      </c>
      <c r="M728" s="5">
        <v>0</v>
      </c>
      <c r="N728" s="11">
        <v>0</v>
      </c>
      <c r="O728" s="13">
        <v>2024</v>
      </c>
    </row>
    <row r="729" spans="1:15" ht="14.5" customHeight="1" x14ac:dyDescent="0.35">
      <c r="A729" s="20" t="s">
        <v>1474</v>
      </c>
      <c r="B729" s="15" t="s">
        <v>1475</v>
      </c>
      <c r="C729" s="15" t="s">
        <v>3108</v>
      </c>
      <c r="D729" s="16" t="s">
        <v>61</v>
      </c>
      <c r="E729" s="15" t="s">
        <v>173</v>
      </c>
      <c r="F729" s="15" t="s">
        <v>170</v>
      </c>
      <c r="G729" s="17" t="str">
        <f t="shared" si="11"/>
        <v>Small</v>
      </c>
      <c r="H729" s="3">
        <v>667</v>
      </c>
      <c r="I729" s="4">
        <v>28.5</v>
      </c>
      <c r="J729" s="5">
        <v>77199.800599700146</v>
      </c>
      <c r="K729" s="6">
        <v>6.1741503826195886E-3</v>
      </c>
      <c r="L729" s="5">
        <v>646.40902548725637</v>
      </c>
      <c r="M729" s="5">
        <v>0</v>
      </c>
      <c r="N729" s="11">
        <v>1049.316311844078</v>
      </c>
      <c r="O729" s="13">
        <v>2024</v>
      </c>
    </row>
    <row r="730" spans="1:15" ht="14.5" customHeight="1" x14ac:dyDescent="0.35">
      <c r="A730" s="20" t="s">
        <v>1476</v>
      </c>
      <c r="B730" s="15" t="s">
        <v>1477</v>
      </c>
      <c r="C730" s="15" t="s">
        <v>3108</v>
      </c>
      <c r="D730" s="16" t="s">
        <v>69</v>
      </c>
      <c r="E730" s="15" t="s">
        <v>173</v>
      </c>
      <c r="F730" s="15" t="s">
        <v>170</v>
      </c>
      <c r="G730" s="17" t="str">
        <f t="shared" si="11"/>
        <v>Small</v>
      </c>
      <c r="H730" s="3">
        <v>1312</v>
      </c>
      <c r="I730" s="4">
        <v>38</v>
      </c>
      <c r="J730" s="5">
        <v>78493.429115853665</v>
      </c>
      <c r="K730" s="6">
        <v>5.7238556913150034E-3</v>
      </c>
      <c r="L730" s="5">
        <v>538.14024390243901</v>
      </c>
      <c r="M730" s="5">
        <v>1000.3102134146342</v>
      </c>
      <c r="N730" s="11">
        <v>1174.467225609756</v>
      </c>
      <c r="O730" s="13">
        <v>2024</v>
      </c>
    </row>
    <row r="731" spans="1:15" ht="14.5" customHeight="1" x14ac:dyDescent="0.35">
      <c r="A731" s="20" t="s">
        <v>1478</v>
      </c>
      <c r="B731" s="15" t="s">
        <v>1479</v>
      </c>
      <c r="C731" s="15" t="s">
        <v>3108</v>
      </c>
      <c r="D731" s="16" t="s">
        <v>79</v>
      </c>
      <c r="E731" s="15" t="s">
        <v>178</v>
      </c>
      <c r="F731" s="15" t="s">
        <v>170</v>
      </c>
      <c r="G731" s="17" t="str">
        <f t="shared" si="11"/>
        <v>Medium</v>
      </c>
      <c r="H731" s="3">
        <v>30617</v>
      </c>
      <c r="I731" s="4">
        <v>23.2</v>
      </c>
      <c r="J731" s="5">
        <v>152066.38145474737</v>
      </c>
      <c r="K731" s="6">
        <v>2.8525867122138693E-3</v>
      </c>
      <c r="L731" s="5">
        <v>635.42335957147986</v>
      </c>
      <c r="M731" s="5">
        <v>391.61250285788941</v>
      </c>
      <c r="N731" s="11">
        <v>810.18297024528852</v>
      </c>
      <c r="O731" s="13">
        <v>2024</v>
      </c>
    </row>
    <row r="732" spans="1:15" ht="14.5" customHeight="1" x14ac:dyDescent="0.35">
      <c r="A732" s="20" t="s">
        <v>1480</v>
      </c>
      <c r="B732" s="15" t="s">
        <v>1481</v>
      </c>
      <c r="C732" s="15" t="s">
        <v>3108</v>
      </c>
      <c r="D732" s="16" t="s">
        <v>77</v>
      </c>
      <c r="E732" s="15" t="s">
        <v>217</v>
      </c>
      <c r="F732" s="15" t="s">
        <v>170</v>
      </c>
      <c r="G732" s="17" t="str">
        <f t="shared" si="11"/>
        <v>Small</v>
      </c>
      <c r="H732" s="3">
        <v>5540</v>
      </c>
      <c r="I732" s="4">
        <v>61.6</v>
      </c>
      <c r="J732" s="5">
        <v>98213.00685920578</v>
      </c>
      <c r="K732" s="6">
        <v>5.1384243741433308E-3</v>
      </c>
      <c r="L732" s="5">
        <v>635.10663176895309</v>
      </c>
      <c r="M732" s="5">
        <v>0</v>
      </c>
      <c r="N732" s="11">
        <v>733.62369314079422</v>
      </c>
      <c r="O732" s="13">
        <v>2024</v>
      </c>
    </row>
    <row r="733" spans="1:15" ht="14.5" customHeight="1" x14ac:dyDescent="0.35">
      <c r="A733" s="20" t="s">
        <v>1482</v>
      </c>
      <c r="B733" s="15" t="s">
        <v>1483</v>
      </c>
      <c r="C733" s="15" t="s">
        <v>3108</v>
      </c>
      <c r="D733" s="16" t="s">
        <v>69</v>
      </c>
      <c r="E733" s="15" t="s">
        <v>173</v>
      </c>
      <c r="F733" s="15" t="s">
        <v>170</v>
      </c>
      <c r="G733" s="17" t="str">
        <f t="shared" si="11"/>
        <v>Small</v>
      </c>
      <c r="H733" s="3">
        <v>922</v>
      </c>
      <c r="I733" s="4">
        <v>29.5</v>
      </c>
      <c r="J733" s="5">
        <v>94992.054229934918</v>
      </c>
      <c r="K733" s="6">
        <v>3.2021287680711829E-3</v>
      </c>
      <c r="L733" s="5">
        <v>417.80991323210412</v>
      </c>
      <c r="M733" s="5">
        <v>115.50976138828634</v>
      </c>
      <c r="N733" s="11">
        <v>769.72919739696306</v>
      </c>
      <c r="O733" s="13">
        <v>2024</v>
      </c>
    </row>
    <row r="734" spans="1:15" ht="14.5" customHeight="1" x14ac:dyDescent="0.35">
      <c r="A734" s="20" t="s">
        <v>1484</v>
      </c>
      <c r="B734" s="15" t="s">
        <v>1485</v>
      </c>
      <c r="C734" s="15" t="s">
        <v>3108</v>
      </c>
      <c r="D734" s="16" t="s">
        <v>43</v>
      </c>
      <c r="E734" s="15" t="s">
        <v>207</v>
      </c>
      <c r="F734" s="15" t="s">
        <v>208</v>
      </c>
      <c r="G734" s="17" t="str">
        <f t="shared" si="11"/>
        <v>Medium</v>
      </c>
      <c r="H734" s="3">
        <v>10424</v>
      </c>
      <c r="I734" s="4">
        <v>35.1</v>
      </c>
      <c r="J734" s="5">
        <v>107874.84717958557</v>
      </c>
      <c r="K734" s="6">
        <v>2.558724964004866E-3</v>
      </c>
      <c r="L734" s="5">
        <v>313.03336914811973</v>
      </c>
      <c r="M734" s="5">
        <v>27.479475249424404</v>
      </c>
      <c r="N734" s="11">
        <v>511.8574328472755</v>
      </c>
      <c r="O734" s="13">
        <v>2024</v>
      </c>
    </row>
    <row r="735" spans="1:15" ht="14.5" customHeight="1" x14ac:dyDescent="0.35">
      <c r="A735" s="20" t="s">
        <v>1486</v>
      </c>
      <c r="B735" s="15" t="s">
        <v>135</v>
      </c>
      <c r="C735" s="15" t="s">
        <v>3108</v>
      </c>
      <c r="D735" s="16" t="s">
        <v>73</v>
      </c>
      <c r="E735" s="15" t="s">
        <v>169</v>
      </c>
      <c r="F735" s="15" t="s">
        <v>170</v>
      </c>
      <c r="G735" s="17" t="str">
        <f t="shared" si="11"/>
        <v>Medium</v>
      </c>
      <c r="H735" s="3">
        <v>11886</v>
      </c>
      <c r="I735" s="4">
        <v>45.9</v>
      </c>
      <c r="J735" s="5">
        <v>133531.72572774693</v>
      </c>
      <c r="K735" s="6">
        <v>2.4076580330978144E-3</v>
      </c>
      <c r="L735" s="5">
        <v>751.24835773178529</v>
      </c>
      <c r="M735" s="5">
        <v>1444.7419653373718</v>
      </c>
      <c r="N735" s="11">
        <v>1231.5638549554099</v>
      </c>
      <c r="O735" s="13">
        <v>2024</v>
      </c>
    </row>
    <row r="736" spans="1:15" ht="14.5" customHeight="1" x14ac:dyDescent="0.35">
      <c r="A736" s="20" t="s">
        <v>1487</v>
      </c>
      <c r="B736" s="15" t="s">
        <v>1488</v>
      </c>
      <c r="C736" s="15" t="s">
        <v>3108</v>
      </c>
      <c r="D736" s="16" t="s">
        <v>9</v>
      </c>
      <c r="E736" s="15" t="s">
        <v>207</v>
      </c>
      <c r="F736" s="15" t="s">
        <v>208</v>
      </c>
      <c r="G736" s="17" t="str">
        <f t="shared" si="11"/>
        <v>Small</v>
      </c>
      <c r="H736" s="3">
        <v>9799</v>
      </c>
      <c r="I736" s="4">
        <v>32.6</v>
      </c>
      <c r="J736" s="5">
        <v>131389.76477191551</v>
      </c>
      <c r="K736" s="6">
        <v>1.9760373668015569E-3</v>
      </c>
      <c r="L736" s="5">
        <v>376.03332993162564</v>
      </c>
      <c r="M736" s="5">
        <v>0.81385855699561183</v>
      </c>
      <c r="N736" s="11">
        <v>763.50903357485458</v>
      </c>
      <c r="O736" s="13">
        <v>2024</v>
      </c>
    </row>
    <row r="737" spans="1:15" ht="14.5" customHeight="1" x14ac:dyDescent="0.35">
      <c r="A737" s="20" t="s">
        <v>1489</v>
      </c>
      <c r="B737" s="15" t="s">
        <v>1490</v>
      </c>
      <c r="C737" s="15" t="s">
        <v>3108</v>
      </c>
      <c r="D737" s="16" t="s">
        <v>61</v>
      </c>
      <c r="E737" s="15" t="s">
        <v>173</v>
      </c>
      <c r="F737" s="15" t="s">
        <v>170</v>
      </c>
      <c r="G737" s="17" t="str">
        <f t="shared" si="11"/>
        <v>Small</v>
      </c>
      <c r="H737" s="3">
        <v>1619</v>
      </c>
      <c r="I737" s="4">
        <v>42.2</v>
      </c>
      <c r="J737" s="5">
        <v>84755.55404570722</v>
      </c>
      <c r="K737" s="6">
        <v>4.9920039639921648E-3</v>
      </c>
      <c r="L737" s="5">
        <v>617.79061148857318</v>
      </c>
      <c r="M737" s="5">
        <v>18.595429277331686</v>
      </c>
      <c r="N737" s="11">
        <v>1031.1025324274244</v>
      </c>
      <c r="O737" s="13">
        <v>2024</v>
      </c>
    </row>
    <row r="738" spans="1:15" ht="14.5" customHeight="1" x14ac:dyDescent="0.35">
      <c r="A738" s="20" t="s">
        <v>1491</v>
      </c>
      <c r="B738" s="15" t="s">
        <v>1492</v>
      </c>
      <c r="C738" s="15" t="s">
        <v>3108</v>
      </c>
      <c r="D738" s="16" t="s">
        <v>77</v>
      </c>
      <c r="E738" s="15" t="s">
        <v>217</v>
      </c>
      <c r="F738" s="15" t="s">
        <v>170</v>
      </c>
      <c r="G738" s="17" t="str">
        <f t="shared" si="11"/>
        <v>Small</v>
      </c>
      <c r="H738" s="3">
        <v>4322</v>
      </c>
      <c r="I738" s="4">
        <v>32.4</v>
      </c>
      <c r="J738" s="5">
        <v>118120.3195279963</v>
      </c>
      <c r="K738" s="6" t="s">
        <v>27</v>
      </c>
      <c r="L738" s="5">
        <v>0</v>
      </c>
      <c r="M738" s="5">
        <v>0</v>
      </c>
      <c r="N738" s="11">
        <v>0</v>
      </c>
      <c r="O738" s="13">
        <v>2024</v>
      </c>
    </row>
    <row r="739" spans="1:15" ht="14.5" customHeight="1" x14ac:dyDescent="0.35">
      <c r="A739" s="20" t="s">
        <v>1493</v>
      </c>
      <c r="B739" s="15" t="s">
        <v>1494</v>
      </c>
      <c r="C739" s="15" t="s">
        <v>3108</v>
      </c>
      <c r="D739" s="16" t="s">
        <v>22</v>
      </c>
      <c r="E739" s="15" t="s">
        <v>186</v>
      </c>
      <c r="F739" s="15" t="s">
        <v>170</v>
      </c>
      <c r="G739" s="17" t="str">
        <f t="shared" si="11"/>
        <v>Small</v>
      </c>
      <c r="H739" s="3">
        <v>2214</v>
      </c>
      <c r="I739" s="4">
        <v>36.6</v>
      </c>
      <c r="J739" s="5">
        <v>60414.025745257451</v>
      </c>
      <c r="K739" s="6">
        <v>4.1671123454322676E-3</v>
      </c>
      <c r="L739" s="5">
        <v>490.96657633243001</v>
      </c>
      <c r="M739" s="5">
        <v>0</v>
      </c>
      <c r="N739" s="11">
        <v>746.46838301716355</v>
      </c>
      <c r="O739" s="13">
        <v>2024</v>
      </c>
    </row>
    <row r="740" spans="1:15" ht="14.5" customHeight="1" x14ac:dyDescent="0.35">
      <c r="A740" s="20" t="s">
        <v>1495</v>
      </c>
      <c r="B740" s="15" t="s">
        <v>1496</v>
      </c>
      <c r="C740" s="15" t="s">
        <v>3108</v>
      </c>
      <c r="D740" s="16" t="s">
        <v>22</v>
      </c>
      <c r="E740" s="15" t="s">
        <v>186</v>
      </c>
      <c r="F740" s="15" t="s">
        <v>170</v>
      </c>
      <c r="G740" s="17" t="str">
        <f t="shared" si="11"/>
        <v>Medium</v>
      </c>
      <c r="H740" s="3">
        <v>13035</v>
      </c>
      <c r="I740" s="4">
        <v>43.9</v>
      </c>
      <c r="J740" s="5">
        <v>74536.305178365932</v>
      </c>
      <c r="K740" s="6">
        <v>1.4775437015714077E-3</v>
      </c>
      <c r="L740" s="5">
        <v>205.81219792865363</v>
      </c>
      <c r="M740" s="5">
        <v>562.66206367472194</v>
      </c>
      <c r="N740" s="11">
        <v>554.96770233985421</v>
      </c>
      <c r="O740" s="13">
        <v>2024</v>
      </c>
    </row>
    <row r="741" spans="1:15" ht="14.5" customHeight="1" x14ac:dyDescent="0.35">
      <c r="A741" s="20" t="s">
        <v>1497</v>
      </c>
      <c r="B741" s="15" t="s">
        <v>1498</v>
      </c>
      <c r="C741" s="15" t="s">
        <v>3108</v>
      </c>
      <c r="D741" s="16" t="s">
        <v>89</v>
      </c>
      <c r="E741" s="15" t="s">
        <v>183</v>
      </c>
      <c r="F741" s="15" t="s">
        <v>170</v>
      </c>
      <c r="G741" s="17" t="str">
        <f t="shared" si="11"/>
        <v>Small</v>
      </c>
      <c r="H741" s="3">
        <v>7080</v>
      </c>
      <c r="I741" s="4">
        <v>66.400000000000006</v>
      </c>
      <c r="J741" s="5">
        <v>131474.70480225989</v>
      </c>
      <c r="K741" s="6">
        <v>4.5539253318808252E-3</v>
      </c>
      <c r="L741" s="5">
        <v>610.16186440677961</v>
      </c>
      <c r="M741" s="5">
        <v>56.355932203389834</v>
      </c>
      <c r="N741" s="11">
        <v>770.4612994350282</v>
      </c>
      <c r="O741" s="13">
        <v>2024</v>
      </c>
    </row>
    <row r="742" spans="1:15" ht="14.5" customHeight="1" x14ac:dyDescent="0.35">
      <c r="A742" s="20" t="s">
        <v>1499</v>
      </c>
      <c r="B742" s="15" t="s">
        <v>1500</v>
      </c>
      <c r="C742" s="15" t="s">
        <v>3108</v>
      </c>
      <c r="D742" s="16" t="s">
        <v>269</v>
      </c>
      <c r="E742" s="15" t="s">
        <v>178</v>
      </c>
      <c r="F742" s="15" t="s">
        <v>170</v>
      </c>
      <c r="G742" s="17" t="str">
        <f t="shared" si="11"/>
        <v>Small</v>
      </c>
      <c r="H742" s="3">
        <v>763</v>
      </c>
      <c r="I742" s="4">
        <v>26.4</v>
      </c>
      <c r="J742" s="5">
        <v>73754.642201834868</v>
      </c>
      <c r="K742" s="6">
        <v>1.4186582866445778E-2</v>
      </c>
      <c r="L742" s="5">
        <v>1054.0380078636958</v>
      </c>
      <c r="M742" s="5">
        <v>0</v>
      </c>
      <c r="N742" s="11">
        <v>1475.2870249017037</v>
      </c>
      <c r="O742" s="13">
        <v>2024</v>
      </c>
    </row>
    <row r="743" spans="1:15" ht="14.5" customHeight="1" x14ac:dyDescent="0.35">
      <c r="A743" s="20" t="s">
        <v>1501</v>
      </c>
      <c r="B743" s="15" t="s">
        <v>1502</v>
      </c>
      <c r="C743" s="15" t="s">
        <v>3108</v>
      </c>
      <c r="D743" s="16" t="s">
        <v>48</v>
      </c>
      <c r="E743" s="15" t="s">
        <v>186</v>
      </c>
      <c r="F743" s="15" t="s">
        <v>170</v>
      </c>
      <c r="G743" s="17" t="str">
        <f t="shared" si="11"/>
        <v>Small</v>
      </c>
      <c r="H743" s="3">
        <v>6513</v>
      </c>
      <c r="I743" s="4">
        <v>33.1</v>
      </c>
      <c r="J743" s="5">
        <v>121176.14002763704</v>
      </c>
      <c r="K743" s="6">
        <v>2.0280385626216865E-3</v>
      </c>
      <c r="L743" s="5">
        <v>524.39306003377862</v>
      </c>
      <c r="M743" s="5">
        <v>153.53907569476431</v>
      </c>
      <c r="N743" s="11">
        <v>788.62782128051595</v>
      </c>
      <c r="O743" s="13">
        <v>2024</v>
      </c>
    </row>
    <row r="744" spans="1:15" ht="14.5" customHeight="1" x14ac:dyDescent="0.35">
      <c r="A744" s="20" t="s">
        <v>1503</v>
      </c>
      <c r="B744" s="15" t="s">
        <v>1504</v>
      </c>
      <c r="C744" s="15" t="s">
        <v>3108</v>
      </c>
      <c r="D744" s="16" t="s">
        <v>22</v>
      </c>
      <c r="E744" s="15" t="s">
        <v>186</v>
      </c>
      <c r="F744" s="15" t="s">
        <v>170</v>
      </c>
      <c r="G744" s="17" t="str">
        <f t="shared" si="11"/>
        <v>Small</v>
      </c>
      <c r="H744" s="3">
        <v>4309</v>
      </c>
      <c r="I744" s="4">
        <v>34.1</v>
      </c>
      <c r="J744" s="5">
        <v>74604.397772104901</v>
      </c>
      <c r="K744" s="6">
        <v>2.4788786897454148E-3</v>
      </c>
      <c r="L744" s="5">
        <v>379.23462520306333</v>
      </c>
      <c r="M744" s="5">
        <v>1319.9187746576931</v>
      </c>
      <c r="N744" s="11">
        <v>1455.4172661870505</v>
      </c>
      <c r="O744" s="13">
        <v>2024</v>
      </c>
    </row>
    <row r="745" spans="1:15" ht="14.5" customHeight="1" x14ac:dyDescent="0.35">
      <c r="A745" s="20" t="s">
        <v>1505</v>
      </c>
      <c r="B745" s="15" t="s">
        <v>1506</v>
      </c>
      <c r="C745" s="15" t="s">
        <v>3108</v>
      </c>
      <c r="D745" s="16" t="s">
        <v>65</v>
      </c>
      <c r="E745" s="15" t="s">
        <v>186</v>
      </c>
      <c r="F745" s="15" t="s">
        <v>170</v>
      </c>
      <c r="G745" s="17" t="str">
        <f t="shared" si="11"/>
        <v>Small</v>
      </c>
      <c r="H745" s="3">
        <v>3504</v>
      </c>
      <c r="I745" s="4">
        <v>35.6</v>
      </c>
      <c r="J745" s="5">
        <v>59235.524257990866</v>
      </c>
      <c r="K745" s="6">
        <v>3.1111776210550105E-3</v>
      </c>
      <c r="L745" s="5">
        <v>197.62178367579912</v>
      </c>
      <c r="M745" s="5">
        <v>0</v>
      </c>
      <c r="N745" s="11">
        <v>237.87350742009133</v>
      </c>
      <c r="O745" s="13">
        <v>2024</v>
      </c>
    </row>
    <row r="746" spans="1:15" ht="14.5" customHeight="1" x14ac:dyDescent="0.35">
      <c r="A746" s="20" t="s">
        <v>1507</v>
      </c>
      <c r="B746" s="15" t="s">
        <v>1508</v>
      </c>
      <c r="C746" s="15" t="s">
        <v>3108</v>
      </c>
      <c r="D746" s="16" t="s">
        <v>63</v>
      </c>
      <c r="E746" s="15" t="s">
        <v>169</v>
      </c>
      <c r="F746" s="15" t="s">
        <v>170</v>
      </c>
      <c r="G746" s="17" t="str">
        <f t="shared" si="11"/>
        <v>Medium</v>
      </c>
      <c r="H746" s="3">
        <v>14901</v>
      </c>
      <c r="I746" s="4">
        <v>101.4</v>
      </c>
      <c r="J746" s="5">
        <v>53126.748339037651</v>
      </c>
      <c r="K746" s="6">
        <v>3.0508892345747474E-3</v>
      </c>
      <c r="L746" s="5">
        <v>298.75151063686991</v>
      </c>
      <c r="M746" s="5">
        <v>179.49371183142071</v>
      </c>
      <c r="N746" s="11">
        <v>391.28410375142607</v>
      </c>
      <c r="O746" s="13">
        <v>2024</v>
      </c>
    </row>
    <row r="747" spans="1:15" ht="14.5" customHeight="1" x14ac:dyDescent="0.35">
      <c r="A747" s="20" t="s">
        <v>1509</v>
      </c>
      <c r="B747" s="15" t="s">
        <v>1510</v>
      </c>
      <c r="C747" s="15" t="s">
        <v>3108</v>
      </c>
      <c r="D747" s="16" t="s">
        <v>289</v>
      </c>
      <c r="E747" s="15" t="s">
        <v>178</v>
      </c>
      <c r="F747" s="15" t="s">
        <v>170</v>
      </c>
      <c r="G747" s="17" t="str">
        <f t="shared" si="11"/>
        <v>Small</v>
      </c>
      <c r="H747" s="3">
        <v>1858</v>
      </c>
      <c r="I747" s="4">
        <v>37.200000000000003</v>
      </c>
      <c r="J747" s="5">
        <v>74063.50269106566</v>
      </c>
      <c r="K747" s="6">
        <v>8.3227679665228965E-3</v>
      </c>
      <c r="L747" s="5">
        <v>643.77551668460706</v>
      </c>
      <c r="M747" s="5">
        <v>0</v>
      </c>
      <c r="N747" s="11">
        <v>881.86991926803012</v>
      </c>
      <c r="O747" s="13">
        <v>2024</v>
      </c>
    </row>
    <row r="748" spans="1:15" ht="14.5" customHeight="1" x14ac:dyDescent="0.35">
      <c r="A748" s="20" t="s">
        <v>1511</v>
      </c>
      <c r="B748" s="15" t="s">
        <v>137</v>
      </c>
      <c r="C748" s="15" t="s">
        <v>3108</v>
      </c>
      <c r="D748" s="16" t="s">
        <v>9</v>
      </c>
      <c r="E748" s="15" t="s">
        <v>207</v>
      </c>
      <c r="F748" s="15" t="s">
        <v>208</v>
      </c>
      <c r="G748" s="17" t="str">
        <f t="shared" si="11"/>
        <v>Medium</v>
      </c>
      <c r="H748" s="3">
        <v>45471</v>
      </c>
      <c r="I748" s="4">
        <v>28.5</v>
      </c>
      <c r="J748" s="5">
        <v>112707.86675023641</v>
      </c>
      <c r="K748" s="6" t="s">
        <v>27</v>
      </c>
      <c r="L748" s="5">
        <v>0</v>
      </c>
      <c r="M748" s="5">
        <v>0</v>
      </c>
      <c r="N748" s="11">
        <v>0</v>
      </c>
      <c r="O748" s="13">
        <v>2024</v>
      </c>
    </row>
    <row r="749" spans="1:15" ht="14.5" customHeight="1" x14ac:dyDescent="0.35">
      <c r="A749" s="20" t="s">
        <v>1512</v>
      </c>
      <c r="B749" s="15" t="s">
        <v>1513</v>
      </c>
      <c r="C749" s="15" t="s">
        <v>3108</v>
      </c>
      <c r="D749" s="16" t="s">
        <v>55</v>
      </c>
      <c r="E749" s="15" t="s">
        <v>207</v>
      </c>
      <c r="F749" s="15" t="s">
        <v>208</v>
      </c>
      <c r="G749" s="17" t="str">
        <f t="shared" si="11"/>
        <v>Small</v>
      </c>
      <c r="H749" s="3">
        <v>5082</v>
      </c>
      <c r="I749" s="4">
        <v>22.6</v>
      </c>
      <c r="J749" s="5">
        <v>521709.26997245179</v>
      </c>
      <c r="K749" s="6">
        <v>2.5333718705207679E-3</v>
      </c>
      <c r="L749" s="5">
        <v>1693.1780794962613</v>
      </c>
      <c r="M749" s="5">
        <v>684.76977567886661</v>
      </c>
      <c r="N749" s="11">
        <v>2009.0914994096813</v>
      </c>
      <c r="O749" s="13">
        <v>2024</v>
      </c>
    </row>
    <row r="750" spans="1:15" ht="14.5" customHeight="1" x14ac:dyDescent="0.35">
      <c r="A750" s="20" t="s">
        <v>1514</v>
      </c>
      <c r="B750" s="15" t="s">
        <v>1515</v>
      </c>
      <c r="C750" s="15" t="s">
        <v>3108</v>
      </c>
      <c r="D750" s="16" t="s">
        <v>18</v>
      </c>
      <c r="E750" s="15" t="s">
        <v>173</v>
      </c>
      <c r="F750" s="15" t="s">
        <v>170</v>
      </c>
      <c r="G750" s="17" t="str">
        <f t="shared" si="11"/>
        <v>Small</v>
      </c>
      <c r="H750" s="3">
        <v>1983</v>
      </c>
      <c r="I750" s="4">
        <v>51.7</v>
      </c>
      <c r="J750" s="5">
        <v>76694.604135148766</v>
      </c>
      <c r="K750" s="6">
        <v>6.9437697504165421E-3</v>
      </c>
      <c r="L750" s="5">
        <v>782.81564296520435</v>
      </c>
      <c r="M750" s="5">
        <v>461.92637418053454</v>
      </c>
      <c r="N750" s="11">
        <v>970.19518910741306</v>
      </c>
      <c r="O750" s="13">
        <v>2024</v>
      </c>
    </row>
    <row r="751" spans="1:15" ht="14.5" customHeight="1" x14ac:dyDescent="0.35">
      <c r="A751" s="20" t="s">
        <v>1516</v>
      </c>
      <c r="B751" s="15" t="s">
        <v>1517</v>
      </c>
      <c r="C751" s="15" t="s">
        <v>3108</v>
      </c>
      <c r="D751" s="16" t="s">
        <v>248</v>
      </c>
      <c r="E751" s="15" t="s">
        <v>217</v>
      </c>
      <c r="F751" s="15" t="s">
        <v>170</v>
      </c>
      <c r="G751" s="17" t="str">
        <f t="shared" si="11"/>
        <v>Small</v>
      </c>
      <c r="H751" s="3">
        <v>774</v>
      </c>
      <c r="I751" s="4">
        <v>19.600000000000001</v>
      </c>
      <c r="J751" s="5">
        <v>168133.77260981913</v>
      </c>
      <c r="K751" s="6">
        <v>6.6554224925796596E-3</v>
      </c>
      <c r="L751" s="5">
        <v>1178.9405684754522</v>
      </c>
      <c r="M751" s="5">
        <v>525.54780361757105</v>
      </c>
      <c r="N751" s="11">
        <v>2613.0788113695089</v>
      </c>
      <c r="O751" s="13">
        <v>2024</v>
      </c>
    </row>
    <row r="752" spans="1:15" ht="14.5" customHeight="1" x14ac:dyDescent="0.35">
      <c r="A752" s="20" t="s">
        <v>1518</v>
      </c>
      <c r="B752" s="15" t="s">
        <v>1519</v>
      </c>
      <c r="C752" s="15" t="s">
        <v>3108</v>
      </c>
      <c r="D752" s="16" t="s">
        <v>20</v>
      </c>
      <c r="E752" s="15" t="s">
        <v>183</v>
      </c>
      <c r="F752" s="15" t="s">
        <v>170</v>
      </c>
      <c r="G752" s="17" t="str">
        <f t="shared" si="11"/>
        <v>Small</v>
      </c>
      <c r="H752" s="3">
        <v>1357</v>
      </c>
      <c r="I752" s="4">
        <v>26.8</v>
      </c>
      <c r="J752" s="5">
        <v>106914.98010316875</v>
      </c>
      <c r="K752" s="6">
        <v>1.049063923325656E-3</v>
      </c>
      <c r="L752" s="5">
        <v>559.08753868828296</v>
      </c>
      <c r="M752" s="5">
        <v>0</v>
      </c>
      <c r="N752" s="11">
        <v>759.04425202652919</v>
      </c>
      <c r="O752" s="13">
        <v>2024</v>
      </c>
    </row>
    <row r="753" spans="1:15" ht="14.5" customHeight="1" x14ac:dyDescent="0.35">
      <c r="A753" s="20" t="s">
        <v>1520</v>
      </c>
      <c r="B753" s="15" t="s">
        <v>1521</v>
      </c>
      <c r="C753" s="15" t="s">
        <v>3108</v>
      </c>
      <c r="D753" s="16" t="s">
        <v>61</v>
      </c>
      <c r="E753" s="15" t="s">
        <v>173</v>
      </c>
      <c r="F753" s="15" t="s">
        <v>170</v>
      </c>
      <c r="G753" s="17" t="str">
        <f t="shared" si="11"/>
        <v>Small</v>
      </c>
      <c r="H753" s="3">
        <v>895</v>
      </c>
      <c r="I753" s="4">
        <v>34.9</v>
      </c>
      <c r="J753" s="5">
        <v>84322.146368715083</v>
      </c>
      <c r="K753" s="6">
        <v>5.1058269866637151E-3</v>
      </c>
      <c r="L753" s="5">
        <v>623.85090502793298</v>
      </c>
      <c r="M753" s="5">
        <v>0</v>
      </c>
      <c r="N753" s="11">
        <v>839.20422346368719</v>
      </c>
      <c r="O753" s="13">
        <v>2024</v>
      </c>
    </row>
    <row r="754" spans="1:15" ht="14.5" customHeight="1" x14ac:dyDescent="0.35">
      <c r="A754" s="20" t="s">
        <v>1522</v>
      </c>
      <c r="B754" s="15" t="s">
        <v>1523</v>
      </c>
      <c r="C754" s="15" t="s">
        <v>3108</v>
      </c>
      <c r="D754" s="16" t="s">
        <v>86</v>
      </c>
      <c r="E754" s="15" t="s">
        <v>217</v>
      </c>
      <c r="F754" s="15" t="s">
        <v>170</v>
      </c>
      <c r="G754" s="17" t="str">
        <f t="shared" si="11"/>
        <v>Small</v>
      </c>
      <c r="H754" s="3">
        <v>2024</v>
      </c>
      <c r="I754" s="4">
        <v>23.9</v>
      </c>
      <c r="J754" s="5">
        <v>140401.68922924902</v>
      </c>
      <c r="K754" s="6">
        <v>1.0247204010596094E-3</v>
      </c>
      <c r="L754" s="5">
        <v>324.83309782608694</v>
      </c>
      <c r="M754" s="5">
        <v>915.31620553359687</v>
      </c>
      <c r="N754" s="11">
        <v>513.05889822134384</v>
      </c>
      <c r="O754" s="13">
        <v>2024</v>
      </c>
    </row>
    <row r="755" spans="1:15" ht="14.5" customHeight="1" x14ac:dyDescent="0.35">
      <c r="A755" s="20" t="s">
        <v>1524</v>
      </c>
      <c r="B755" s="15" t="s">
        <v>1525</v>
      </c>
      <c r="C755" s="15" t="s">
        <v>3108</v>
      </c>
      <c r="D755" s="16" t="s">
        <v>51</v>
      </c>
      <c r="E755" s="15" t="s">
        <v>217</v>
      </c>
      <c r="F755" s="15" t="s">
        <v>170</v>
      </c>
      <c r="G755" s="17" t="str">
        <f t="shared" si="11"/>
        <v>Small</v>
      </c>
      <c r="H755" s="3">
        <v>2075</v>
      </c>
      <c r="I755" s="4">
        <v>44</v>
      </c>
      <c r="J755" s="5">
        <v>128879.92096385542</v>
      </c>
      <c r="K755" s="6">
        <v>3.536536798935164E-3</v>
      </c>
      <c r="L755" s="5">
        <v>801.16962891566266</v>
      </c>
      <c r="M755" s="5">
        <v>10.878559036144578</v>
      </c>
      <c r="N755" s="11">
        <v>1086.9363759036144</v>
      </c>
      <c r="O755" s="13">
        <v>2024</v>
      </c>
    </row>
    <row r="756" spans="1:15" ht="14.5" customHeight="1" x14ac:dyDescent="0.35">
      <c r="A756" s="20" t="s">
        <v>1526</v>
      </c>
      <c r="B756" s="15" t="s">
        <v>1527</v>
      </c>
      <c r="C756" s="15" t="s">
        <v>3108</v>
      </c>
      <c r="D756" s="16" t="s">
        <v>18</v>
      </c>
      <c r="E756" s="15" t="s">
        <v>173</v>
      </c>
      <c r="F756" s="15" t="s">
        <v>170</v>
      </c>
      <c r="G756" s="17" t="str">
        <f t="shared" si="11"/>
        <v>Small</v>
      </c>
      <c r="H756" s="3">
        <v>1258</v>
      </c>
      <c r="I756" s="4">
        <v>33.1</v>
      </c>
      <c r="J756" s="5">
        <v>308151.28457869636</v>
      </c>
      <c r="K756" s="6">
        <v>2.6029995239366817E-3</v>
      </c>
      <c r="L756" s="5">
        <v>1107.4773131955483</v>
      </c>
      <c r="M756" s="5">
        <v>2493.9737678855327</v>
      </c>
      <c r="N756" s="11">
        <v>1660.0489904610492</v>
      </c>
      <c r="O756" s="13">
        <v>2024</v>
      </c>
    </row>
    <row r="757" spans="1:15" ht="14.5" customHeight="1" x14ac:dyDescent="0.35">
      <c r="A757" s="20" t="s">
        <v>1528</v>
      </c>
      <c r="B757" s="15" t="s">
        <v>438</v>
      </c>
      <c r="C757" s="15" t="s">
        <v>3108</v>
      </c>
      <c r="D757" s="16" t="s">
        <v>237</v>
      </c>
      <c r="E757" s="15" t="s">
        <v>217</v>
      </c>
      <c r="F757" s="15" t="s">
        <v>170</v>
      </c>
      <c r="G757" s="17" t="str">
        <f t="shared" si="11"/>
        <v>Small</v>
      </c>
      <c r="H757" s="3">
        <v>567</v>
      </c>
      <c r="I757" s="4">
        <v>32.799999999999997</v>
      </c>
      <c r="J757" s="5">
        <v>721435.34215167549</v>
      </c>
      <c r="K757" s="6">
        <v>2.7942629820912157E-3</v>
      </c>
      <c r="L757" s="5">
        <v>2141.2139329805996</v>
      </c>
      <c r="M757" s="5">
        <v>2530.8641975308642</v>
      </c>
      <c r="N757" s="11">
        <v>2599.8491534391533</v>
      </c>
      <c r="O757" s="13">
        <v>2024</v>
      </c>
    </row>
    <row r="758" spans="1:15" ht="14.5" customHeight="1" x14ac:dyDescent="0.35">
      <c r="A758" s="20" t="s">
        <v>1529</v>
      </c>
      <c r="B758" s="15" t="s">
        <v>1530</v>
      </c>
      <c r="C758" s="15" t="s">
        <v>3108</v>
      </c>
      <c r="D758" s="16" t="s">
        <v>438</v>
      </c>
      <c r="E758" s="15" t="s">
        <v>207</v>
      </c>
      <c r="F758" s="15" t="s">
        <v>208</v>
      </c>
      <c r="G758" s="17" t="str">
        <f t="shared" si="11"/>
        <v>Medium</v>
      </c>
      <c r="H758" s="3">
        <v>11762</v>
      </c>
      <c r="I758" s="4">
        <v>41.2</v>
      </c>
      <c r="J758" s="5">
        <v>187257.15762625405</v>
      </c>
      <c r="K758" s="6">
        <v>5.4572485879402438E-3</v>
      </c>
      <c r="L758" s="5">
        <v>1084.7009012072776</v>
      </c>
      <c r="M758" s="5">
        <v>866.68933854786599</v>
      </c>
      <c r="N758" s="11">
        <v>1767.6030437000511</v>
      </c>
      <c r="O758" s="13">
        <v>2024</v>
      </c>
    </row>
    <row r="759" spans="1:15" ht="14.5" customHeight="1" x14ac:dyDescent="0.35">
      <c r="A759" s="20" t="s">
        <v>1531</v>
      </c>
      <c r="B759" s="15" t="s">
        <v>1532</v>
      </c>
      <c r="C759" s="15" t="s">
        <v>3108</v>
      </c>
      <c r="D759" s="16" t="s">
        <v>32</v>
      </c>
      <c r="E759" s="15" t="s">
        <v>217</v>
      </c>
      <c r="F759" s="15" t="s">
        <v>170</v>
      </c>
      <c r="G759" s="17" t="str">
        <f t="shared" si="11"/>
        <v>Medium</v>
      </c>
      <c r="H759" s="3">
        <v>29169</v>
      </c>
      <c r="I759" s="4">
        <v>62.8</v>
      </c>
      <c r="J759" s="5">
        <v>165875.92426891564</v>
      </c>
      <c r="K759" s="6">
        <v>2.1586693437403706E-3</v>
      </c>
      <c r="L759" s="5">
        <v>828.81525249408617</v>
      </c>
      <c r="M759" s="5">
        <v>246.85712194453015</v>
      </c>
      <c r="N759" s="11">
        <v>1364.299620144674</v>
      </c>
      <c r="O759" s="13">
        <v>2024</v>
      </c>
    </row>
    <row r="760" spans="1:15" ht="14.5" customHeight="1" x14ac:dyDescent="0.35">
      <c r="A760" s="20" t="s">
        <v>1533</v>
      </c>
      <c r="B760" s="15" t="s">
        <v>1534</v>
      </c>
      <c r="C760" s="15" t="s">
        <v>3108</v>
      </c>
      <c r="D760" s="16" t="s">
        <v>513</v>
      </c>
      <c r="E760" s="15" t="s">
        <v>207</v>
      </c>
      <c r="F760" s="15" t="s">
        <v>208</v>
      </c>
      <c r="G760" s="17" t="str">
        <f t="shared" si="11"/>
        <v>Large</v>
      </c>
      <c r="H760" s="3">
        <v>148919</v>
      </c>
      <c r="I760" s="4">
        <v>61.2</v>
      </c>
      <c r="J760" s="5">
        <v>133912.51132494846</v>
      </c>
      <c r="K760" s="6">
        <v>4.6047353316752944E-3</v>
      </c>
      <c r="L760" s="5">
        <v>645.35309127780874</v>
      </c>
      <c r="M760" s="5">
        <v>547.97553703691267</v>
      </c>
      <c r="N760" s="11">
        <v>1023.6864201344355</v>
      </c>
      <c r="O760" s="13">
        <v>2024</v>
      </c>
    </row>
    <row r="761" spans="1:15" ht="14.5" customHeight="1" x14ac:dyDescent="0.35">
      <c r="A761" s="20" t="s">
        <v>1535</v>
      </c>
      <c r="B761" s="15" t="s">
        <v>1536</v>
      </c>
      <c r="C761" s="15" t="s">
        <v>3108</v>
      </c>
      <c r="D761" s="16" t="s">
        <v>65</v>
      </c>
      <c r="E761" s="15" t="s">
        <v>186</v>
      </c>
      <c r="F761" s="15" t="s">
        <v>170</v>
      </c>
      <c r="G761" s="17" t="str">
        <f t="shared" si="11"/>
        <v>Small</v>
      </c>
      <c r="H761" s="3">
        <v>2469</v>
      </c>
      <c r="I761" s="4">
        <v>36.1</v>
      </c>
      <c r="J761" s="5">
        <v>62909.971648440667</v>
      </c>
      <c r="K761" s="6">
        <v>6.0206836361913285E-3</v>
      </c>
      <c r="L761" s="5">
        <v>559.02592142567846</v>
      </c>
      <c r="M761" s="5">
        <v>728.86917780477927</v>
      </c>
      <c r="N761" s="11">
        <v>1465.7561765897124</v>
      </c>
      <c r="O761" s="13">
        <v>2024</v>
      </c>
    </row>
    <row r="762" spans="1:15" ht="14.5" customHeight="1" x14ac:dyDescent="0.35">
      <c r="A762" s="20" t="s">
        <v>1537</v>
      </c>
      <c r="B762" s="15" t="s">
        <v>1538</v>
      </c>
      <c r="C762" s="15" t="s">
        <v>3108</v>
      </c>
      <c r="D762" s="16" t="s">
        <v>18</v>
      </c>
      <c r="E762" s="15" t="s">
        <v>173</v>
      </c>
      <c r="F762" s="15" t="s">
        <v>170</v>
      </c>
      <c r="G762" s="17" t="str">
        <f t="shared" si="11"/>
        <v>Small</v>
      </c>
      <c r="H762" s="3">
        <v>1093</v>
      </c>
      <c r="I762" s="4">
        <v>36</v>
      </c>
      <c r="J762" s="5">
        <v>68194.416285452884</v>
      </c>
      <c r="K762" s="6">
        <v>6.8123131678699631E-3</v>
      </c>
      <c r="L762" s="5">
        <v>683.6813083257091</v>
      </c>
      <c r="M762" s="5">
        <v>80.695333943275386</v>
      </c>
      <c r="N762" s="11">
        <v>1570.3295974382434</v>
      </c>
      <c r="O762" s="13">
        <v>2024</v>
      </c>
    </row>
    <row r="763" spans="1:15" ht="14.5" customHeight="1" x14ac:dyDescent="0.35">
      <c r="A763" s="20" t="s">
        <v>1539</v>
      </c>
      <c r="B763" s="15" t="s">
        <v>1540</v>
      </c>
      <c r="C763" s="15" t="s">
        <v>3108</v>
      </c>
      <c r="D763" s="16" t="s">
        <v>451</v>
      </c>
      <c r="E763" s="15" t="s">
        <v>173</v>
      </c>
      <c r="F763" s="15" t="s">
        <v>170</v>
      </c>
      <c r="G763" s="17" t="str">
        <f t="shared" si="11"/>
        <v>Small</v>
      </c>
      <c r="H763" s="3">
        <v>1719</v>
      </c>
      <c r="I763" s="4">
        <v>27.2</v>
      </c>
      <c r="J763" s="5">
        <v>166639.28679464804</v>
      </c>
      <c r="K763" s="6" t="s">
        <v>27</v>
      </c>
      <c r="L763" s="5">
        <v>0</v>
      </c>
      <c r="M763" s="5">
        <v>0</v>
      </c>
      <c r="N763" s="11">
        <v>0</v>
      </c>
      <c r="O763" s="13">
        <v>2024</v>
      </c>
    </row>
    <row r="764" spans="1:15" ht="14.5" customHeight="1" x14ac:dyDescent="0.35">
      <c r="A764" s="20" t="s">
        <v>1541</v>
      </c>
      <c r="B764" s="15" t="s">
        <v>1542</v>
      </c>
      <c r="C764" s="15" t="s">
        <v>3108</v>
      </c>
      <c r="D764" s="16" t="s">
        <v>9</v>
      </c>
      <c r="E764" s="15" t="s">
        <v>207</v>
      </c>
      <c r="F764" s="15" t="s">
        <v>208</v>
      </c>
      <c r="G764" s="17" t="str">
        <f t="shared" si="11"/>
        <v>Small</v>
      </c>
      <c r="H764" s="3">
        <v>9953</v>
      </c>
      <c r="I764" s="4">
        <v>36.200000000000003</v>
      </c>
      <c r="J764" s="5">
        <v>167223.9380086406</v>
      </c>
      <c r="K764" s="6">
        <v>1.6700081965363609E-3</v>
      </c>
      <c r="L764" s="5">
        <v>438.32563046317694</v>
      </c>
      <c r="M764" s="5">
        <v>342.72078770220037</v>
      </c>
      <c r="N764" s="11">
        <v>614.36672360092439</v>
      </c>
      <c r="O764" s="13">
        <v>2024</v>
      </c>
    </row>
    <row r="765" spans="1:15" ht="14.5" customHeight="1" x14ac:dyDescent="0.35">
      <c r="A765" s="20" t="s">
        <v>1543</v>
      </c>
      <c r="B765" s="15" t="s">
        <v>1544</v>
      </c>
      <c r="C765" s="15" t="s">
        <v>3108</v>
      </c>
      <c r="D765" s="16" t="s">
        <v>65</v>
      </c>
      <c r="E765" s="15" t="s">
        <v>186</v>
      </c>
      <c r="F765" s="15" t="s">
        <v>170</v>
      </c>
      <c r="G765" s="17" t="str">
        <f t="shared" si="11"/>
        <v>Small</v>
      </c>
      <c r="H765" s="3">
        <v>27</v>
      </c>
      <c r="I765" s="4">
        <v>55.7</v>
      </c>
      <c r="J765" s="5">
        <v>10840111.666666666</v>
      </c>
      <c r="K765" s="6">
        <v>3.0421649168811525E-4</v>
      </c>
      <c r="L765" s="5">
        <v>6263.0266666666666</v>
      </c>
      <c r="M765" s="5">
        <v>0</v>
      </c>
      <c r="N765" s="11">
        <v>6875.3714814814812</v>
      </c>
      <c r="O765" s="13">
        <v>2024</v>
      </c>
    </row>
    <row r="766" spans="1:15" ht="14.5" customHeight="1" x14ac:dyDescent="0.35">
      <c r="A766" s="20" t="s">
        <v>1545</v>
      </c>
      <c r="B766" s="15" t="s">
        <v>1546</v>
      </c>
      <c r="C766" s="15" t="s">
        <v>3108</v>
      </c>
      <c r="D766" s="16" t="s">
        <v>26</v>
      </c>
      <c r="E766" s="15" t="s">
        <v>183</v>
      </c>
      <c r="F766" s="15" t="s">
        <v>170</v>
      </c>
      <c r="G766" s="17" t="str">
        <f t="shared" si="11"/>
        <v>Small</v>
      </c>
      <c r="H766" s="3">
        <v>476</v>
      </c>
      <c r="I766" s="4">
        <v>89.8</v>
      </c>
      <c r="J766" s="5">
        <v>244246.51890756303</v>
      </c>
      <c r="K766" s="6">
        <v>6.812238527125908E-3</v>
      </c>
      <c r="L766" s="5">
        <v>1755.0437184873952</v>
      </c>
      <c r="M766" s="5">
        <v>178.57142857142858</v>
      </c>
      <c r="N766" s="11">
        <v>2614.0512605042013</v>
      </c>
      <c r="O766" s="13">
        <v>2024</v>
      </c>
    </row>
    <row r="767" spans="1:15" ht="14.5" customHeight="1" x14ac:dyDescent="0.35">
      <c r="A767" s="20" t="s">
        <v>1547</v>
      </c>
      <c r="B767" s="15" t="s">
        <v>1548</v>
      </c>
      <c r="C767" s="15" t="s">
        <v>3108</v>
      </c>
      <c r="D767" s="16" t="s">
        <v>81</v>
      </c>
      <c r="E767" s="15" t="s">
        <v>214</v>
      </c>
      <c r="F767" s="15" t="s">
        <v>170</v>
      </c>
      <c r="G767" s="17" t="str">
        <f t="shared" si="11"/>
        <v>Small</v>
      </c>
      <c r="H767" s="3">
        <v>1761</v>
      </c>
      <c r="I767" s="4">
        <v>35.5</v>
      </c>
      <c r="J767" s="5">
        <v>93855.339579784209</v>
      </c>
      <c r="K767" s="6">
        <v>1.7133668918506064E-3</v>
      </c>
      <c r="L767" s="5">
        <v>491.32554798409996</v>
      </c>
      <c r="M767" s="5">
        <v>0</v>
      </c>
      <c r="N767" s="11">
        <v>1266.6064281658148</v>
      </c>
      <c r="O767" s="13">
        <v>2024</v>
      </c>
    </row>
    <row r="768" spans="1:15" ht="14.5" customHeight="1" x14ac:dyDescent="0.35">
      <c r="A768" s="20" t="s">
        <v>1549</v>
      </c>
      <c r="B768" s="15" t="s">
        <v>1550</v>
      </c>
      <c r="C768" s="15" t="s">
        <v>3108</v>
      </c>
      <c r="D768" s="16" t="s">
        <v>1</v>
      </c>
      <c r="E768" s="15" t="s">
        <v>217</v>
      </c>
      <c r="F768" s="15" t="s">
        <v>170</v>
      </c>
      <c r="G768" s="17" t="str">
        <f t="shared" ref="G768:G831" si="12">IF(H768&lt;=10000,"Small",(IF(H768&lt;=100000,"Medium",IF(H768&gt;100000,"Large"))))</f>
        <v>Small</v>
      </c>
      <c r="H768" s="3">
        <v>1826</v>
      </c>
      <c r="I768" s="4">
        <v>61.5</v>
      </c>
      <c r="J768" s="5">
        <v>171580.47918948522</v>
      </c>
      <c r="K768" s="6">
        <v>4.5068029428294775E-3</v>
      </c>
      <c r="L768" s="5">
        <v>1250.6309145673602</v>
      </c>
      <c r="M768" s="5">
        <v>204.29969879518072</v>
      </c>
      <c r="N768" s="11">
        <v>1645.1048411829133</v>
      </c>
      <c r="O768" s="13">
        <v>2024</v>
      </c>
    </row>
    <row r="769" spans="1:15" ht="14.5" customHeight="1" x14ac:dyDescent="0.35">
      <c r="A769" s="20" t="s">
        <v>1551</v>
      </c>
      <c r="B769" s="15" t="s">
        <v>1552</v>
      </c>
      <c r="C769" s="15" t="s">
        <v>3108</v>
      </c>
      <c r="D769" s="16" t="s">
        <v>9</v>
      </c>
      <c r="E769" s="15" t="s">
        <v>207</v>
      </c>
      <c r="F769" s="15" t="s">
        <v>208</v>
      </c>
      <c r="G769" s="17" t="str">
        <f t="shared" si="12"/>
        <v>Small</v>
      </c>
      <c r="H769" s="3">
        <v>7596</v>
      </c>
      <c r="I769" s="4">
        <v>35.700000000000003</v>
      </c>
      <c r="J769" s="5">
        <v>310509.3779620853</v>
      </c>
      <c r="K769" s="6">
        <v>1.0248027982236046E-3</v>
      </c>
      <c r="L769" s="5">
        <v>405.4263283307003</v>
      </c>
      <c r="M769" s="5">
        <v>73.025276461295419</v>
      </c>
      <c r="N769" s="11">
        <v>796.07624012638234</v>
      </c>
      <c r="O769" s="13">
        <v>2024</v>
      </c>
    </row>
    <row r="770" spans="1:15" ht="14.5" customHeight="1" x14ac:dyDescent="0.35">
      <c r="A770" s="20" t="s">
        <v>1553</v>
      </c>
      <c r="B770" s="15" t="s">
        <v>1554</v>
      </c>
      <c r="C770" s="15" t="s">
        <v>3108</v>
      </c>
      <c r="D770" s="16" t="s">
        <v>69</v>
      </c>
      <c r="E770" s="15" t="s">
        <v>173</v>
      </c>
      <c r="F770" s="15" t="s">
        <v>170</v>
      </c>
      <c r="G770" s="17" t="str">
        <f t="shared" si="12"/>
        <v>Small</v>
      </c>
      <c r="H770" s="3">
        <v>2065</v>
      </c>
      <c r="I770" s="4">
        <v>30.9</v>
      </c>
      <c r="J770" s="5">
        <v>105587.59612590799</v>
      </c>
      <c r="K770" s="6">
        <v>3.8883749579764365E-3</v>
      </c>
      <c r="L770" s="5">
        <v>499.86399031477004</v>
      </c>
      <c r="M770" s="5">
        <v>24.426111380145276</v>
      </c>
      <c r="N770" s="11">
        <v>700.59289588377726</v>
      </c>
      <c r="O770" s="13">
        <v>2024</v>
      </c>
    </row>
    <row r="771" spans="1:15" ht="14.5" customHeight="1" x14ac:dyDescent="0.35">
      <c r="A771" s="20" t="s">
        <v>1555</v>
      </c>
      <c r="B771" s="15" t="s">
        <v>1556</v>
      </c>
      <c r="C771" s="15" t="s">
        <v>3108</v>
      </c>
      <c r="D771" s="16" t="s">
        <v>292</v>
      </c>
      <c r="E771" s="15" t="s">
        <v>173</v>
      </c>
      <c r="F771" s="15" t="s">
        <v>170</v>
      </c>
      <c r="G771" s="17" t="str">
        <f t="shared" si="12"/>
        <v>Small</v>
      </c>
      <c r="H771" s="3">
        <v>1043</v>
      </c>
      <c r="I771" s="4">
        <v>38.200000000000003</v>
      </c>
      <c r="J771" s="5">
        <v>85410.409395973154</v>
      </c>
      <c r="K771" s="6">
        <v>8.3860974820385865E-3</v>
      </c>
      <c r="L771" s="5">
        <v>780.41088207094913</v>
      </c>
      <c r="M771" s="5">
        <v>109.30009587727709</v>
      </c>
      <c r="N771" s="11">
        <v>1613.5459635666346</v>
      </c>
      <c r="O771" s="13">
        <v>2024</v>
      </c>
    </row>
    <row r="772" spans="1:15" ht="14.5" customHeight="1" x14ac:dyDescent="0.35">
      <c r="A772" s="20" t="s">
        <v>1557</v>
      </c>
      <c r="B772" s="15" t="s">
        <v>1558</v>
      </c>
      <c r="C772" s="15" t="s">
        <v>3108</v>
      </c>
      <c r="D772" s="16" t="s">
        <v>26</v>
      </c>
      <c r="E772" s="15" t="s">
        <v>183</v>
      </c>
      <c r="F772" s="15" t="s">
        <v>170</v>
      </c>
      <c r="G772" s="17" t="str">
        <f t="shared" si="12"/>
        <v>Small</v>
      </c>
      <c r="H772" s="3">
        <v>5637</v>
      </c>
      <c r="I772" s="4">
        <v>57.3</v>
      </c>
      <c r="J772" s="5">
        <v>83099.943409615036</v>
      </c>
      <c r="K772" s="6">
        <v>5.189686984141329E-3</v>
      </c>
      <c r="L772" s="5">
        <v>503.71699840340602</v>
      </c>
      <c r="M772" s="5">
        <v>1226.0348305836437</v>
      </c>
      <c r="N772" s="11">
        <v>739.97528117793161</v>
      </c>
      <c r="O772" s="13">
        <v>2024</v>
      </c>
    </row>
    <row r="773" spans="1:15" ht="14.5" customHeight="1" x14ac:dyDescent="0.35">
      <c r="A773" s="20" t="s">
        <v>1559</v>
      </c>
      <c r="B773" s="15" t="s">
        <v>1560</v>
      </c>
      <c r="C773" s="15" t="s">
        <v>3108</v>
      </c>
      <c r="D773" s="16" t="s">
        <v>15</v>
      </c>
      <c r="E773" s="15" t="s">
        <v>178</v>
      </c>
      <c r="F773" s="15" t="s">
        <v>170</v>
      </c>
      <c r="G773" s="17" t="str">
        <f t="shared" si="12"/>
        <v>Small</v>
      </c>
      <c r="H773" s="3">
        <v>3360</v>
      </c>
      <c r="I773" s="4">
        <v>42.4</v>
      </c>
      <c r="J773" s="5">
        <v>145873.84375</v>
      </c>
      <c r="K773" s="6">
        <v>2.2136605257092714E-3</v>
      </c>
      <c r="L773" s="5">
        <v>893.84961309523817</v>
      </c>
      <c r="M773" s="5">
        <v>900.89285714285711</v>
      </c>
      <c r="N773" s="11">
        <v>1473.6210297619048</v>
      </c>
      <c r="O773" s="13">
        <v>2024</v>
      </c>
    </row>
    <row r="774" spans="1:15" ht="14.5" customHeight="1" x14ac:dyDescent="0.35">
      <c r="A774" s="20" t="s">
        <v>1561</v>
      </c>
      <c r="B774" s="15" t="s">
        <v>1562</v>
      </c>
      <c r="C774" s="15" t="s">
        <v>3108</v>
      </c>
      <c r="D774" s="16" t="s">
        <v>338</v>
      </c>
      <c r="E774" s="15" t="s">
        <v>214</v>
      </c>
      <c r="F774" s="15" t="s">
        <v>170</v>
      </c>
      <c r="G774" s="17" t="str">
        <f t="shared" si="12"/>
        <v>Small</v>
      </c>
      <c r="H774" s="3">
        <v>2466</v>
      </c>
      <c r="I774" s="4">
        <v>30.2</v>
      </c>
      <c r="J774" s="5">
        <v>84020.753446877541</v>
      </c>
      <c r="K774" s="6">
        <v>5.1746908897657836E-3</v>
      </c>
      <c r="L774" s="5">
        <v>500.76566098945665</v>
      </c>
      <c r="M774" s="5">
        <v>296.18341849148419</v>
      </c>
      <c r="N774" s="11">
        <v>663.89851581508515</v>
      </c>
      <c r="O774" s="13">
        <v>2024</v>
      </c>
    </row>
    <row r="775" spans="1:15" ht="14.5" customHeight="1" x14ac:dyDescent="0.35">
      <c r="A775" s="20" t="s">
        <v>1563</v>
      </c>
      <c r="B775" s="15" t="s">
        <v>1564</v>
      </c>
      <c r="C775" s="15" t="s">
        <v>3108</v>
      </c>
      <c r="D775" s="16" t="s">
        <v>181</v>
      </c>
      <c r="E775" s="15" t="s">
        <v>178</v>
      </c>
      <c r="F775" s="15" t="s">
        <v>170</v>
      </c>
      <c r="G775" s="17" t="str">
        <f t="shared" si="12"/>
        <v>Small</v>
      </c>
      <c r="H775" s="3">
        <v>6598</v>
      </c>
      <c r="I775" s="4">
        <v>50</v>
      </c>
      <c r="J775" s="5">
        <v>55661.171567141559</v>
      </c>
      <c r="K775" s="6">
        <v>4.2874329129657723E-3</v>
      </c>
      <c r="L775" s="5">
        <v>267.93251894513492</v>
      </c>
      <c r="M775" s="5">
        <v>513.03425280388001</v>
      </c>
      <c r="N775" s="11">
        <v>447.63959381630798</v>
      </c>
      <c r="O775" s="13">
        <v>2024</v>
      </c>
    </row>
    <row r="776" spans="1:15" ht="14.5" customHeight="1" x14ac:dyDescent="0.35">
      <c r="A776" s="20" t="s">
        <v>1565</v>
      </c>
      <c r="B776" s="15" t="s">
        <v>1566</v>
      </c>
      <c r="C776" s="15" t="s">
        <v>3108</v>
      </c>
      <c r="D776" s="16" t="s">
        <v>79</v>
      </c>
      <c r="E776" s="15" t="s">
        <v>178</v>
      </c>
      <c r="F776" s="15" t="s">
        <v>170</v>
      </c>
      <c r="G776" s="17" t="str">
        <f t="shared" si="12"/>
        <v>Small</v>
      </c>
      <c r="H776" s="3">
        <v>5586</v>
      </c>
      <c r="I776" s="4">
        <v>35</v>
      </c>
      <c r="J776" s="5">
        <v>91643.349803079123</v>
      </c>
      <c r="K776" s="6">
        <v>1.3037590313569303E-3</v>
      </c>
      <c r="L776" s="5">
        <v>220.17525957751522</v>
      </c>
      <c r="M776" s="5">
        <v>463.50250626566418</v>
      </c>
      <c r="N776" s="11">
        <v>783.93358395989969</v>
      </c>
      <c r="O776" s="13">
        <v>2024</v>
      </c>
    </row>
    <row r="777" spans="1:15" ht="14.5" customHeight="1" x14ac:dyDescent="0.35">
      <c r="A777" s="20" t="s">
        <v>1567</v>
      </c>
      <c r="B777" s="15" t="s">
        <v>1568</v>
      </c>
      <c r="C777" s="15" t="s">
        <v>3108</v>
      </c>
      <c r="D777" s="16" t="s">
        <v>22</v>
      </c>
      <c r="E777" s="15" t="s">
        <v>186</v>
      </c>
      <c r="F777" s="15" t="s">
        <v>170</v>
      </c>
      <c r="G777" s="17" t="str">
        <f t="shared" si="12"/>
        <v>Small</v>
      </c>
      <c r="H777" s="3">
        <v>2323</v>
      </c>
      <c r="I777" s="4">
        <v>48.8</v>
      </c>
      <c r="J777" s="5">
        <v>66044.993973310367</v>
      </c>
      <c r="K777" s="6">
        <v>7.2099779927354999E-3</v>
      </c>
      <c r="L777" s="5">
        <v>726.99440378820486</v>
      </c>
      <c r="M777" s="5">
        <v>1805.6650882479553</v>
      </c>
      <c r="N777" s="11">
        <v>1377.3779595350838</v>
      </c>
      <c r="O777" s="13">
        <v>2024</v>
      </c>
    </row>
    <row r="778" spans="1:15" ht="14.5" customHeight="1" x14ac:dyDescent="0.35">
      <c r="A778" s="20" t="s">
        <v>1569</v>
      </c>
      <c r="B778" s="15" t="s">
        <v>1570</v>
      </c>
      <c r="C778" s="15" t="s">
        <v>3108</v>
      </c>
      <c r="D778" s="16" t="s">
        <v>272</v>
      </c>
      <c r="E778" s="15" t="s">
        <v>273</v>
      </c>
      <c r="F778" s="15" t="s">
        <v>208</v>
      </c>
      <c r="G778" s="17" t="str">
        <f t="shared" si="12"/>
        <v>Medium</v>
      </c>
      <c r="H778" s="3">
        <v>35902</v>
      </c>
      <c r="I778" s="4">
        <v>67.400000000000006</v>
      </c>
      <c r="J778" s="5">
        <v>252228.39515904407</v>
      </c>
      <c r="K778" s="6">
        <v>6.7989035704062251E-3</v>
      </c>
      <c r="L778" s="5">
        <v>2147.5373408166674</v>
      </c>
      <c r="M778" s="5">
        <v>1859.5035931145896</v>
      </c>
      <c r="N778" s="11">
        <v>2818.5172856665367</v>
      </c>
      <c r="O778" s="13">
        <v>2024</v>
      </c>
    </row>
    <row r="779" spans="1:15" ht="14.5" customHeight="1" x14ac:dyDescent="0.35">
      <c r="A779" s="20" t="s">
        <v>1571</v>
      </c>
      <c r="B779" s="15" t="s">
        <v>138</v>
      </c>
      <c r="C779" s="15" t="s">
        <v>3108</v>
      </c>
      <c r="D779" s="16" t="s">
        <v>43</v>
      </c>
      <c r="E779" s="15" t="s">
        <v>207</v>
      </c>
      <c r="F779" s="15" t="s">
        <v>208</v>
      </c>
      <c r="G779" s="17" t="str">
        <f t="shared" si="12"/>
        <v>Small</v>
      </c>
      <c r="H779" s="3">
        <v>7272</v>
      </c>
      <c r="I779" s="4">
        <v>89.3</v>
      </c>
      <c r="J779" s="5">
        <v>213523.84818481849</v>
      </c>
      <c r="K779" s="6">
        <v>1.4818095512867536E-3</v>
      </c>
      <c r="L779" s="5">
        <v>388.39883663366339</v>
      </c>
      <c r="M779" s="5">
        <v>0</v>
      </c>
      <c r="N779" s="11">
        <v>749.01309130913091</v>
      </c>
      <c r="O779" s="13">
        <v>2024</v>
      </c>
    </row>
    <row r="780" spans="1:15" ht="14.5" customHeight="1" x14ac:dyDescent="0.35">
      <c r="A780" s="20" t="s">
        <v>1572</v>
      </c>
      <c r="B780" s="15" t="s">
        <v>513</v>
      </c>
      <c r="C780" s="15" t="s">
        <v>3108</v>
      </c>
      <c r="D780" s="16" t="s">
        <v>324</v>
      </c>
      <c r="E780" s="15" t="s">
        <v>207</v>
      </c>
      <c r="F780" s="15" t="s">
        <v>208</v>
      </c>
      <c r="G780" s="17" t="str">
        <f t="shared" si="12"/>
        <v>Small</v>
      </c>
      <c r="H780" s="3">
        <v>3290</v>
      </c>
      <c r="I780" s="4">
        <v>94.2</v>
      </c>
      <c r="J780" s="5">
        <v>189915.21246200608</v>
      </c>
      <c r="K780" s="6" t="s">
        <v>27</v>
      </c>
      <c r="L780" s="5">
        <v>0</v>
      </c>
      <c r="M780" s="5">
        <v>0</v>
      </c>
      <c r="N780" s="11">
        <v>0</v>
      </c>
      <c r="O780" s="13">
        <v>2024</v>
      </c>
    </row>
    <row r="781" spans="1:15" ht="14.5" customHeight="1" x14ac:dyDescent="0.35">
      <c r="A781" s="20" t="s">
        <v>1573</v>
      </c>
      <c r="B781" s="15" t="s">
        <v>1574</v>
      </c>
      <c r="C781" s="15" t="s">
        <v>3108</v>
      </c>
      <c r="D781" s="16" t="s">
        <v>94</v>
      </c>
      <c r="E781" s="15" t="s">
        <v>169</v>
      </c>
      <c r="F781" s="15" t="s">
        <v>170</v>
      </c>
      <c r="G781" s="17" t="str">
        <f t="shared" si="12"/>
        <v>Small</v>
      </c>
      <c r="H781" s="3">
        <v>1197</v>
      </c>
      <c r="I781" s="4">
        <v>42.2</v>
      </c>
      <c r="J781" s="5">
        <v>101788.67669172933</v>
      </c>
      <c r="K781" s="6">
        <v>1.14602594596898E-3</v>
      </c>
      <c r="L781" s="5">
        <v>451.38928989139515</v>
      </c>
      <c r="M781" s="5">
        <v>0</v>
      </c>
      <c r="N781" s="11">
        <v>2155.3617627401836</v>
      </c>
      <c r="O781" s="13">
        <v>2024</v>
      </c>
    </row>
    <row r="782" spans="1:15" ht="14.5" customHeight="1" x14ac:dyDescent="0.35">
      <c r="A782" s="20" t="s">
        <v>1575</v>
      </c>
      <c r="B782" s="15" t="s">
        <v>1576</v>
      </c>
      <c r="C782" s="15" t="s">
        <v>3108</v>
      </c>
      <c r="D782" s="16" t="s">
        <v>588</v>
      </c>
      <c r="E782" s="15" t="s">
        <v>178</v>
      </c>
      <c r="F782" s="15" t="s">
        <v>170</v>
      </c>
      <c r="G782" s="17" t="str">
        <f t="shared" si="12"/>
        <v>Small</v>
      </c>
      <c r="H782" s="3">
        <v>3203</v>
      </c>
      <c r="I782" s="4">
        <v>37.799999999999997</v>
      </c>
      <c r="J782" s="5">
        <v>96628.86887293162</v>
      </c>
      <c r="K782" s="6">
        <v>4.0165465088499658E-3</v>
      </c>
      <c r="L782" s="5">
        <v>438.62198876053691</v>
      </c>
      <c r="M782" s="5">
        <v>890.72744302216677</v>
      </c>
      <c r="N782" s="11">
        <v>1049.6284264751796</v>
      </c>
      <c r="O782" s="13">
        <v>2024</v>
      </c>
    </row>
    <row r="783" spans="1:15" ht="14.5" customHeight="1" x14ac:dyDescent="0.35">
      <c r="A783" s="20" t="s">
        <v>1577</v>
      </c>
      <c r="B783" s="15" t="s">
        <v>1578</v>
      </c>
      <c r="C783" s="15" t="s">
        <v>3108</v>
      </c>
      <c r="D783" s="16" t="s">
        <v>3</v>
      </c>
      <c r="E783" s="15" t="s">
        <v>214</v>
      </c>
      <c r="F783" s="15" t="s">
        <v>170</v>
      </c>
      <c r="G783" s="17" t="str">
        <f t="shared" si="12"/>
        <v>Small</v>
      </c>
      <c r="H783" s="3">
        <v>2013</v>
      </c>
      <c r="I783" s="4">
        <v>50.6</v>
      </c>
      <c r="J783" s="5">
        <v>84235.096870342779</v>
      </c>
      <c r="K783" s="6">
        <v>2.5200741307549747E-3</v>
      </c>
      <c r="L783" s="5">
        <v>608.85532041728766</v>
      </c>
      <c r="M783" s="5">
        <v>0</v>
      </c>
      <c r="N783" s="11">
        <v>832.25658221559866</v>
      </c>
      <c r="O783" s="13">
        <v>2024</v>
      </c>
    </row>
    <row r="784" spans="1:15" ht="14.5" customHeight="1" x14ac:dyDescent="0.35">
      <c r="A784" s="20" t="s">
        <v>1579</v>
      </c>
      <c r="B784" s="15" t="s">
        <v>1580</v>
      </c>
      <c r="C784" s="15" t="s">
        <v>3108</v>
      </c>
      <c r="D784" s="16" t="s">
        <v>234</v>
      </c>
      <c r="E784" s="15" t="s">
        <v>178</v>
      </c>
      <c r="F784" s="15" t="s">
        <v>170</v>
      </c>
      <c r="G784" s="17" t="str">
        <f t="shared" si="12"/>
        <v>Small</v>
      </c>
      <c r="H784" s="3">
        <v>2291</v>
      </c>
      <c r="I784" s="4">
        <v>33.9</v>
      </c>
      <c r="J784" s="5">
        <v>70725.535137494546</v>
      </c>
      <c r="K784" s="6" t="s">
        <v>27</v>
      </c>
      <c r="L784" s="5">
        <v>0</v>
      </c>
      <c r="M784" s="5">
        <v>0</v>
      </c>
      <c r="N784" s="11">
        <v>0</v>
      </c>
      <c r="O784" s="13">
        <v>2024</v>
      </c>
    </row>
    <row r="785" spans="1:15" ht="14.5" customHeight="1" x14ac:dyDescent="0.35">
      <c r="A785" s="20" t="s">
        <v>1581</v>
      </c>
      <c r="B785" s="15" t="s">
        <v>1582</v>
      </c>
      <c r="C785" s="15" t="s">
        <v>3108</v>
      </c>
      <c r="D785" s="16" t="s">
        <v>69</v>
      </c>
      <c r="E785" s="15" t="s">
        <v>173</v>
      </c>
      <c r="F785" s="15" t="s">
        <v>170</v>
      </c>
      <c r="G785" s="17" t="str">
        <f t="shared" si="12"/>
        <v>Small</v>
      </c>
      <c r="H785" s="3">
        <v>690</v>
      </c>
      <c r="I785" s="4">
        <v>33.4</v>
      </c>
      <c r="J785" s="5">
        <v>120361.53623188406</v>
      </c>
      <c r="K785" s="6">
        <v>5.5716343008130331E-3</v>
      </c>
      <c r="L785" s="5">
        <v>802.14911594202886</v>
      </c>
      <c r="M785" s="5">
        <v>292.56152173913046</v>
      </c>
      <c r="N785" s="11">
        <v>1750.915739130435</v>
      </c>
      <c r="O785" s="13">
        <v>2024</v>
      </c>
    </row>
    <row r="786" spans="1:15" ht="14.5" customHeight="1" x14ac:dyDescent="0.35">
      <c r="A786" s="20" t="s">
        <v>1583</v>
      </c>
      <c r="B786" s="15" t="s">
        <v>1584</v>
      </c>
      <c r="C786" s="15" t="s">
        <v>3108</v>
      </c>
      <c r="D786" s="16" t="s">
        <v>43</v>
      </c>
      <c r="E786" s="15" t="s">
        <v>207</v>
      </c>
      <c r="F786" s="15" t="s">
        <v>208</v>
      </c>
      <c r="G786" s="17" t="str">
        <f t="shared" si="12"/>
        <v>Small</v>
      </c>
      <c r="H786" s="3">
        <v>5782</v>
      </c>
      <c r="I786" s="4">
        <v>20</v>
      </c>
      <c r="J786" s="5">
        <v>146871.94482877897</v>
      </c>
      <c r="K786" s="6">
        <v>3.6967778842115434E-3</v>
      </c>
      <c r="L786" s="5">
        <v>589.11847111726047</v>
      </c>
      <c r="M786" s="5">
        <v>1116.7815634728468</v>
      </c>
      <c r="N786" s="11">
        <v>1114.1611016949153</v>
      </c>
      <c r="O786" s="13">
        <v>2024</v>
      </c>
    </row>
    <row r="787" spans="1:15" ht="14.5" customHeight="1" x14ac:dyDescent="0.35">
      <c r="A787" s="20" t="s">
        <v>1585</v>
      </c>
      <c r="B787" s="15" t="s">
        <v>1586</v>
      </c>
      <c r="C787" s="15" t="s">
        <v>3108</v>
      </c>
      <c r="D787" s="16" t="s">
        <v>63</v>
      </c>
      <c r="E787" s="15" t="s">
        <v>169</v>
      </c>
      <c r="F787" s="15" t="s">
        <v>170</v>
      </c>
      <c r="G787" s="17" t="str">
        <f t="shared" si="12"/>
        <v>Small</v>
      </c>
      <c r="H787" s="3">
        <v>799</v>
      </c>
      <c r="I787" s="4">
        <v>37.9</v>
      </c>
      <c r="J787" s="5">
        <v>78617.908635794738</v>
      </c>
      <c r="K787" s="6">
        <v>5.248687076030616E-3</v>
      </c>
      <c r="L787" s="5">
        <v>722.71580725907393</v>
      </c>
      <c r="M787" s="5">
        <v>249.06132665832291</v>
      </c>
      <c r="N787" s="11">
        <v>966.76764705882351</v>
      </c>
      <c r="O787" s="13">
        <v>2024</v>
      </c>
    </row>
    <row r="788" spans="1:15" ht="14.5" customHeight="1" x14ac:dyDescent="0.35">
      <c r="A788" s="20" t="s">
        <v>1587</v>
      </c>
      <c r="B788" s="15" t="s">
        <v>1588</v>
      </c>
      <c r="C788" s="15" t="s">
        <v>3108</v>
      </c>
      <c r="D788" s="16" t="s">
        <v>86</v>
      </c>
      <c r="E788" s="15" t="s">
        <v>217</v>
      </c>
      <c r="F788" s="15" t="s">
        <v>170</v>
      </c>
      <c r="G788" s="17" t="str">
        <f t="shared" si="12"/>
        <v>Medium</v>
      </c>
      <c r="H788" s="3">
        <v>30523</v>
      </c>
      <c r="I788" s="4">
        <v>35.700000000000003</v>
      </c>
      <c r="J788" s="5">
        <v>106711.21167644071</v>
      </c>
      <c r="K788" s="6" t="s">
        <v>27</v>
      </c>
      <c r="L788" s="5">
        <v>0</v>
      </c>
      <c r="M788" s="5">
        <v>0</v>
      </c>
      <c r="N788" s="11">
        <v>0</v>
      </c>
      <c r="O788" s="13">
        <v>2024</v>
      </c>
    </row>
    <row r="789" spans="1:15" ht="14.5" customHeight="1" x14ac:dyDescent="0.35">
      <c r="A789" s="20" t="s">
        <v>1589</v>
      </c>
      <c r="B789" s="15" t="s">
        <v>1590</v>
      </c>
      <c r="C789" s="15" t="s">
        <v>3108</v>
      </c>
      <c r="D789" s="16" t="s">
        <v>220</v>
      </c>
      <c r="E789" s="15" t="s">
        <v>173</v>
      </c>
      <c r="F789" s="15" t="s">
        <v>170</v>
      </c>
      <c r="G789" s="17" t="str">
        <f t="shared" si="12"/>
        <v>Small</v>
      </c>
      <c r="H789" s="3">
        <v>2247</v>
      </c>
      <c r="I789" s="4">
        <v>87.1</v>
      </c>
      <c r="J789" s="5">
        <v>298673.89408099686</v>
      </c>
      <c r="K789" s="6" t="s">
        <v>27</v>
      </c>
      <c r="L789" s="5">
        <v>0</v>
      </c>
      <c r="M789" s="5">
        <v>0</v>
      </c>
      <c r="N789" s="11">
        <v>0</v>
      </c>
      <c r="O789" s="13">
        <v>2024</v>
      </c>
    </row>
    <row r="790" spans="1:15" ht="14.5" customHeight="1" x14ac:dyDescent="0.35">
      <c r="A790" s="20" t="s">
        <v>1591</v>
      </c>
      <c r="B790" s="15" t="s">
        <v>1592</v>
      </c>
      <c r="C790" s="15" t="s">
        <v>3108</v>
      </c>
      <c r="D790" s="16" t="s">
        <v>48</v>
      </c>
      <c r="E790" s="15" t="s">
        <v>186</v>
      </c>
      <c r="F790" s="15" t="s">
        <v>170</v>
      </c>
      <c r="G790" s="17" t="str">
        <f t="shared" si="12"/>
        <v>Small</v>
      </c>
      <c r="H790" s="3">
        <v>7517</v>
      </c>
      <c r="I790" s="4">
        <v>70</v>
      </c>
      <c r="J790" s="5">
        <v>95287.496740721035</v>
      </c>
      <c r="K790" s="6" t="s">
        <v>27</v>
      </c>
      <c r="L790" s="5">
        <v>0</v>
      </c>
      <c r="M790" s="5">
        <v>0</v>
      </c>
      <c r="N790" s="11">
        <v>0</v>
      </c>
      <c r="O790" s="13">
        <v>2024</v>
      </c>
    </row>
    <row r="791" spans="1:15" ht="14.5" customHeight="1" x14ac:dyDescent="0.35">
      <c r="A791" s="20" t="s">
        <v>1593</v>
      </c>
      <c r="B791" s="15" t="s">
        <v>1594</v>
      </c>
      <c r="C791" s="15" t="s">
        <v>3108</v>
      </c>
      <c r="D791" s="16" t="s">
        <v>79</v>
      </c>
      <c r="E791" s="15" t="s">
        <v>178</v>
      </c>
      <c r="F791" s="15" t="s">
        <v>170</v>
      </c>
      <c r="G791" s="17" t="str">
        <f t="shared" si="12"/>
        <v>Small</v>
      </c>
      <c r="H791" s="3">
        <v>3490</v>
      </c>
      <c r="I791" s="4">
        <v>30.3</v>
      </c>
      <c r="J791" s="5">
        <v>131653.83638968482</v>
      </c>
      <c r="K791" s="6">
        <v>2.7781286092999694E-3</v>
      </c>
      <c r="L791" s="5">
        <v>560.06246418338105</v>
      </c>
      <c r="M791" s="5">
        <v>4.2979942693409745</v>
      </c>
      <c r="N791" s="11">
        <v>938.28338108882519</v>
      </c>
      <c r="O791" s="13">
        <v>2024</v>
      </c>
    </row>
    <row r="792" spans="1:15" ht="14.5" customHeight="1" x14ac:dyDescent="0.35">
      <c r="A792" s="20" t="s">
        <v>1595</v>
      </c>
      <c r="B792" s="15" t="s">
        <v>1596</v>
      </c>
      <c r="C792" s="15" t="s">
        <v>3108</v>
      </c>
      <c r="D792" s="16" t="s">
        <v>193</v>
      </c>
      <c r="E792" s="15" t="s">
        <v>186</v>
      </c>
      <c r="F792" s="15" t="s">
        <v>170</v>
      </c>
      <c r="G792" s="17" t="str">
        <f t="shared" si="12"/>
        <v>Small</v>
      </c>
      <c r="H792" s="3">
        <v>1079</v>
      </c>
      <c r="I792" s="4">
        <v>35.299999999999997</v>
      </c>
      <c r="J792" s="5">
        <v>166438.89898053755</v>
      </c>
      <c r="K792" s="6">
        <v>4.786650826817793E-3</v>
      </c>
      <c r="L792" s="5">
        <v>800.75903614457832</v>
      </c>
      <c r="M792" s="5">
        <v>0</v>
      </c>
      <c r="N792" s="11">
        <v>1130.9990732159406</v>
      </c>
      <c r="O792" s="13">
        <v>2024</v>
      </c>
    </row>
    <row r="793" spans="1:15" ht="14.5" customHeight="1" x14ac:dyDescent="0.35">
      <c r="A793" s="20" t="s">
        <v>1597</v>
      </c>
      <c r="B793" s="15" t="s">
        <v>1598</v>
      </c>
      <c r="C793" s="15" t="s">
        <v>3108</v>
      </c>
      <c r="D793" s="16" t="s">
        <v>63</v>
      </c>
      <c r="E793" s="15" t="s">
        <v>169</v>
      </c>
      <c r="F793" s="15" t="s">
        <v>170</v>
      </c>
      <c r="G793" s="17" t="str">
        <f t="shared" si="12"/>
        <v>Small</v>
      </c>
      <c r="H793" s="3">
        <v>1872</v>
      </c>
      <c r="I793" s="4">
        <v>96.7</v>
      </c>
      <c r="J793" s="5">
        <v>58290.00106837607</v>
      </c>
      <c r="K793" s="6" t="s">
        <v>27</v>
      </c>
      <c r="L793" s="5">
        <v>0</v>
      </c>
      <c r="M793" s="5">
        <v>0</v>
      </c>
      <c r="N793" s="11">
        <v>0</v>
      </c>
      <c r="O793" s="13">
        <v>2024</v>
      </c>
    </row>
    <row r="794" spans="1:15" ht="14.5" customHeight="1" x14ac:dyDescent="0.35">
      <c r="A794" s="20" t="s">
        <v>1599</v>
      </c>
      <c r="B794" s="15" t="s">
        <v>1600</v>
      </c>
      <c r="C794" s="15" t="s">
        <v>3108</v>
      </c>
      <c r="D794" s="16" t="s">
        <v>46</v>
      </c>
      <c r="E794" s="15" t="s">
        <v>214</v>
      </c>
      <c r="F794" s="15" t="s">
        <v>170</v>
      </c>
      <c r="G794" s="17" t="str">
        <f t="shared" si="12"/>
        <v>Small</v>
      </c>
      <c r="H794" s="3">
        <v>2269</v>
      </c>
      <c r="I794" s="4">
        <v>57</v>
      </c>
      <c r="J794" s="5">
        <v>116759.65491405905</v>
      </c>
      <c r="K794" s="6" t="s">
        <v>27</v>
      </c>
      <c r="L794" s="5">
        <v>0</v>
      </c>
      <c r="M794" s="5">
        <v>0</v>
      </c>
      <c r="N794" s="11">
        <v>0</v>
      </c>
      <c r="O794" s="13">
        <v>2024</v>
      </c>
    </row>
    <row r="795" spans="1:15" ht="14.5" customHeight="1" x14ac:dyDescent="0.35">
      <c r="A795" s="20" t="s">
        <v>1601</v>
      </c>
      <c r="B795" s="15" t="s">
        <v>1602</v>
      </c>
      <c r="C795" s="15" t="s">
        <v>3108</v>
      </c>
      <c r="D795" s="16" t="s">
        <v>94</v>
      </c>
      <c r="E795" s="15" t="s">
        <v>169</v>
      </c>
      <c r="F795" s="15" t="s">
        <v>170</v>
      </c>
      <c r="G795" s="17" t="str">
        <f t="shared" si="12"/>
        <v>Small</v>
      </c>
      <c r="H795" s="3">
        <v>3038</v>
      </c>
      <c r="I795" s="4">
        <v>45.1</v>
      </c>
      <c r="J795" s="5">
        <v>81768.706056616196</v>
      </c>
      <c r="K795" s="6">
        <v>3.274429771036964E-3</v>
      </c>
      <c r="L795" s="5">
        <v>496.98936142198818</v>
      </c>
      <c r="M795" s="5">
        <v>1348.3518762343647</v>
      </c>
      <c r="N795" s="11">
        <v>937.40373271889405</v>
      </c>
      <c r="O795" s="13">
        <v>2024</v>
      </c>
    </row>
    <row r="796" spans="1:15" ht="14.5" customHeight="1" x14ac:dyDescent="0.35">
      <c r="A796" s="20" t="s">
        <v>1603</v>
      </c>
      <c r="B796" s="15" t="s">
        <v>140</v>
      </c>
      <c r="C796" s="15" t="s">
        <v>3108</v>
      </c>
      <c r="D796" s="16" t="s">
        <v>55</v>
      </c>
      <c r="E796" s="15" t="s">
        <v>207</v>
      </c>
      <c r="F796" s="15" t="s">
        <v>208</v>
      </c>
      <c r="G796" s="17" t="str">
        <f t="shared" si="12"/>
        <v>Medium</v>
      </c>
      <c r="H796" s="3">
        <v>49613</v>
      </c>
      <c r="I796" s="4">
        <v>6.9</v>
      </c>
      <c r="J796" s="5">
        <v>189332.59119585593</v>
      </c>
      <c r="K796" s="6">
        <v>3.6946862416280734E-4</v>
      </c>
      <c r="L796" s="5">
        <v>83.491564710862079</v>
      </c>
      <c r="M796" s="5">
        <v>264.40126579727087</v>
      </c>
      <c r="N796" s="11">
        <v>169.63541813637553</v>
      </c>
      <c r="O796" s="13">
        <v>2024</v>
      </c>
    </row>
    <row r="797" spans="1:15" ht="14.5" customHeight="1" x14ac:dyDescent="0.35">
      <c r="A797" s="20" t="s">
        <v>1604</v>
      </c>
      <c r="B797" s="15" t="s">
        <v>141</v>
      </c>
      <c r="C797" s="15" t="s">
        <v>3108</v>
      </c>
      <c r="D797" s="16" t="s">
        <v>65</v>
      </c>
      <c r="E797" s="15" t="s">
        <v>186</v>
      </c>
      <c r="F797" s="15" t="s">
        <v>170</v>
      </c>
      <c r="G797" s="17" t="str">
        <f t="shared" si="12"/>
        <v>Small</v>
      </c>
      <c r="H797" s="3">
        <v>470</v>
      </c>
      <c r="I797" s="4">
        <v>18.399999999999999</v>
      </c>
      <c r="J797" s="5">
        <v>95649.742553191492</v>
      </c>
      <c r="K797" s="6">
        <v>4.77751505553985E-3</v>
      </c>
      <c r="L797" s="5">
        <v>726.13321276595741</v>
      </c>
      <c r="M797" s="5">
        <v>0</v>
      </c>
      <c r="N797" s="11">
        <v>986.42995744680854</v>
      </c>
      <c r="O797" s="13">
        <v>2024</v>
      </c>
    </row>
    <row r="798" spans="1:15" ht="14.5" customHeight="1" x14ac:dyDescent="0.35">
      <c r="A798" s="20" t="s">
        <v>1605</v>
      </c>
      <c r="B798" s="15" t="s">
        <v>1606</v>
      </c>
      <c r="C798" s="15" t="s">
        <v>3108</v>
      </c>
      <c r="D798" s="16" t="s">
        <v>237</v>
      </c>
      <c r="E798" s="15" t="s">
        <v>217</v>
      </c>
      <c r="F798" s="15" t="s">
        <v>170</v>
      </c>
      <c r="G798" s="17" t="str">
        <f t="shared" si="12"/>
        <v>Small</v>
      </c>
      <c r="H798" s="3">
        <v>2612</v>
      </c>
      <c r="I798" s="4">
        <v>52.4</v>
      </c>
      <c r="J798" s="5">
        <v>112863.09532924961</v>
      </c>
      <c r="K798" s="6">
        <v>5.2287969468491529E-3</v>
      </c>
      <c r="L798" s="5">
        <v>660.74514165390508</v>
      </c>
      <c r="M798" s="5">
        <v>477.79479326186828</v>
      </c>
      <c r="N798" s="11">
        <v>995.92405436447166</v>
      </c>
      <c r="O798" s="13">
        <v>2024</v>
      </c>
    </row>
    <row r="799" spans="1:15" ht="14.5" customHeight="1" x14ac:dyDescent="0.35">
      <c r="A799" s="20" t="s">
        <v>1607</v>
      </c>
      <c r="B799" s="15" t="s">
        <v>1608</v>
      </c>
      <c r="C799" s="15" t="s">
        <v>3108</v>
      </c>
      <c r="D799" s="16" t="s">
        <v>89</v>
      </c>
      <c r="E799" s="15" t="s">
        <v>183</v>
      </c>
      <c r="F799" s="15" t="s">
        <v>170</v>
      </c>
      <c r="G799" s="17" t="str">
        <f t="shared" si="12"/>
        <v>Medium</v>
      </c>
      <c r="H799" s="3">
        <v>33223</v>
      </c>
      <c r="I799" s="4">
        <v>13.8</v>
      </c>
      <c r="J799" s="5">
        <v>72893.287601962496</v>
      </c>
      <c r="K799" s="6">
        <v>6.1538925757705538E-3</v>
      </c>
      <c r="L799" s="5">
        <v>471.84607049333295</v>
      </c>
      <c r="M799" s="5">
        <v>814.58745447430999</v>
      </c>
      <c r="N799" s="11">
        <v>736.68588026367274</v>
      </c>
      <c r="O799" s="13">
        <v>2024</v>
      </c>
    </row>
    <row r="800" spans="1:15" ht="14.5" customHeight="1" x14ac:dyDescent="0.35">
      <c r="A800" s="20" t="s">
        <v>1609</v>
      </c>
      <c r="B800" s="15" t="s">
        <v>1610</v>
      </c>
      <c r="C800" s="15" t="s">
        <v>3108</v>
      </c>
      <c r="D800" s="16" t="s">
        <v>46</v>
      </c>
      <c r="E800" s="15" t="s">
        <v>214</v>
      </c>
      <c r="F800" s="15" t="s">
        <v>170</v>
      </c>
      <c r="G800" s="17" t="str">
        <f t="shared" si="12"/>
        <v>Small</v>
      </c>
      <c r="H800" s="3">
        <v>1830</v>
      </c>
      <c r="I800" s="4">
        <v>107.4</v>
      </c>
      <c r="J800" s="5">
        <v>106622.4956284153</v>
      </c>
      <c r="K800" s="6" t="s">
        <v>27</v>
      </c>
      <c r="L800" s="5">
        <v>0</v>
      </c>
      <c r="M800" s="5">
        <v>0</v>
      </c>
      <c r="N800" s="11">
        <v>0</v>
      </c>
      <c r="O800" s="13">
        <v>2024</v>
      </c>
    </row>
    <row r="801" spans="1:15" ht="14.5" customHeight="1" x14ac:dyDescent="0.35">
      <c r="A801" s="20" t="s">
        <v>1611</v>
      </c>
      <c r="B801" s="15" t="s">
        <v>1612</v>
      </c>
      <c r="C801" s="15" t="s">
        <v>3108</v>
      </c>
      <c r="D801" s="16" t="s">
        <v>77</v>
      </c>
      <c r="E801" s="15" t="s">
        <v>217</v>
      </c>
      <c r="F801" s="15" t="s">
        <v>170</v>
      </c>
      <c r="G801" s="17" t="str">
        <f t="shared" si="12"/>
        <v>Small</v>
      </c>
      <c r="H801" s="3">
        <v>8348</v>
      </c>
      <c r="I801" s="4">
        <v>35.1</v>
      </c>
      <c r="J801" s="5">
        <v>127426.50934355534</v>
      </c>
      <c r="K801" s="6">
        <v>1.9524280227664883E-3</v>
      </c>
      <c r="L801" s="5">
        <v>443.28723766171538</v>
      </c>
      <c r="M801" s="5">
        <v>367.75275515093438</v>
      </c>
      <c r="N801" s="11">
        <v>937.13867992333496</v>
      </c>
      <c r="O801" s="13">
        <v>2024</v>
      </c>
    </row>
    <row r="802" spans="1:15" ht="14.5" customHeight="1" x14ac:dyDescent="0.35">
      <c r="A802" s="20" t="s">
        <v>1613</v>
      </c>
      <c r="B802" s="15" t="s">
        <v>1614</v>
      </c>
      <c r="C802" s="15" t="s">
        <v>3108</v>
      </c>
      <c r="D802" s="16" t="s">
        <v>26</v>
      </c>
      <c r="E802" s="15" t="s">
        <v>183</v>
      </c>
      <c r="F802" s="15" t="s">
        <v>170</v>
      </c>
      <c r="G802" s="17" t="str">
        <f t="shared" si="12"/>
        <v>Small</v>
      </c>
      <c r="H802" s="3">
        <v>3813</v>
      </c>
      <c r="I802" s="4">
        <v>42.3</v>
      </c>
      <c r="J802" s="5">
        <v>108859.77812745869</v>
      </c>
      <c r="K802" s="6" t="s">
        <v>27</v>
      </c>
      <c r="L802" s="5">
        <v>0</v>
      </c>
      <c r="M802" s="5">
        <v>0</v>
      </c>
      <c r="N802" s="11">
        <v>0</v>
      </c>
      <c r="O802" s="13">
        <v>2024</v>
      </c>
    </row>
    <row r="803" spans="1:15" ht="14.5" customHeight="1" x14ac:dyDescent="0.35">
      <c r="A803" s="20" t="s">
        <v>1615</v>
      </c>
      <c r="B803" s="15" t="s">
        <v>1616</v>
      </c>
      <c r="C803" s="15" t="s">
        <v>3108</v>
      </c>
      <c r="D803" s="16" t="s">
        <v>11</v>
      </c>
      <c r="E803" s="15" t="s">
        <v>173</v>
      </c>
      <c r="F803" s="15" t="s">
        <v>170</v>
      </c>
      <c r="G803" s="17" t="str">
        <f t="shared" si="12"/>
        <v>Small</v>
      </c>
      <c r="H803" s="3">
        <v>2239</v>
      </c>
      <c r="I803" s="4">
        <v>90.1</v>
      </c>
      <c r="J803" s="5">
        <v>167813.70567217507</v>
      </c>
      <c r="K803" s="6">
        <v>4.3561350213401932E-3</v>
      </c>
      <c r="L803" s="5">
        <v>1037.1270343903527</v>
      </c>
      <c r="M803" s="5">
        <v>243.41223760607414</v>
      </c>
      <c r="N803" s="11">
        <v>1871.4930861991961</v>
      </c>
      <c r="O803" s="13">
        <v>2024</v>
      </c>
    </row>
    <row r="804" spans="1:15" ht="14.5" customHeight="1" x14ac:dyDescent="0.35">
      <c r="A804" s="20" t="s">
        <v>1617</v>
      </c>
      <c r="B804" s="15" t="s">
        <v>1618</v>
      </c>
      <c r="C804" s="15" t="s">
        <v>3108</v>
      </c>
      <c r="D804" s="16" t="s">
        <v>81</v>
      </c>
      <c r="E804" s="15" t="s">
        <v>214</v>
      </c>
      <c r="F804" s="15" t="s">
        <v>170</v>
      </c>
      <c r="G804" s="17" t="str">
        <f t="shared" si="12"/>
        <v>Small</v>
      </c>
      <c r="H804" s="3">
        <v>2327</v>
      </c>
      <c r="I804" s="4">
        <v>30.8</v>
      </c>
      <c r="J804" s="5">
        <v>67666.950580146105</v>
      </c>
      <c r="K804" s="6">
        <v>2.8196570383646892E-3</v>
      </c>
      <c r="L804" s="5">
        <v>352.84142672969489</v>
      </c>
      <c r="M804" s="5">
        <v>45.122475290073055</v>
      </c>
      <c r="N804" s="11">
        <v>509.29866781263428</v>
      </c>
      <c r="O804" s="13">
        <v>2024</v>
      </c>
    </row>
    <row r="805" spans="1:15" ht="14.5" customHeight="1" x14ac:dyDescent="0.35">
      <c r="A805" s="20" t="s">
        <v>1619</v>
      </c>
      <c r="B805" s="15" t="s">
        <v>1620</v>
      </c>
      <c r="C805" s="15" t="s">
        <v>3108</v>
      </c>
      <c r="D805" s="16" t="s">
        <v>282</v>
      </c>
      <c r="E805" s="15" t="s">
        <v>169</v>
      </c>
      <c r="F805" s="15" t="s">
        <v>170</v>
      </c>
      <c r="G805" s="17" t="str">
        <f t="shared" si="12"/>
        <v>Small</v>
      </c>
      <c r="H805" s="3">
        <v>332</v>
      </c>
      <c r="I805" s="4">
        <v>174.4</v>
      </c>
      <c r="J805" s="5">
        <v>1849955.656626506</v>
      </c>
      <c r="K805" s="6">
        <v>1.8048348596203245E-3</v>
      </c>
      <c r="L805" s="5">
        <v>3347.3261144578314</v>
      </c>
      <c r="M805" s="5">
        <v>4126.5060240963858</v>
      </c>
      <c r="N805" s="11">
        <v>4173.830632530121</v>
      </c>
      <c r="O805" s="13">
        <v>2024</v>
      </c>
    </row>
    <row r="806" spans="1:15" ht="14.5" customHeight="1" x14ac:dyDescent="0.35">
      <c r="A806" s="20" t="s">
        <v>1621</v>
      </c>
      <c r="B806" s="15" t="s">
        <v>1622</v>
      </c>
      <c r="C806" s="15" t="s">
        <v>3108</v>
      </c>
      <c r="D806" s="16" t="s">
        <v>73</v>
      </c>
      <c r="E806" s="15" t="s">
        <v>169</v>
      </c>
      <c r="F806" s="15" t="s">
        <v>170</v>
      </c>
      <c r="G806" s="17" t="str">
        <f t="shared" si="12"/>
        <v>Small</v>
      </c>
      <c r="H806" s="3">
        <v>3852</v>
      </c>
      <c r="I806" s="4">
        <v>115.3</v>
      </c>
      <c r="J806" s="5">
        <v>88954.187435098647</v>
      </c>
      <c r="K806" s="6" t="s">
        <v>27</v>
      </c>
      <c r="L806" s="5">
        <v>0</v>
      </c>
      <c r="M806" s="5">
        <v>0</v>
      </c>
      <c r="N806" s="11">
        <v>0</v>
      </c>
      <c r="O806" s="13">
        <v>2024</v>
      </c>
    </row>
    <row r="807" spans="1:15" ht="14.5" customHeight="1" x14ac:dyDescent="0.35">
      <c r="A807" s="20" t="s">
        <v>1623</v>
      </c>
      <c r="B807" s="15" t="s">
        <v>51</v>
      </c>
      <c r="C807" s="15" t="s">
        <v>3108</v>
      </c>
      <c r="D807" s="16" t="s">
        <v>51</v>
      </c>
      <c r="E807" s="15" t="s">
        <v>217</v>
      </c>
      <c r="F807" s="15" t="s">
        <v>170</v>
      </c>
      <c r="G807" s="17" t="str">
        <f t="shared" si="12"/>
        <v>Small</v>
      </c>
      <c r="H807" s="3">
        <v>5808</v>
      </c>
      <c r="I807" s="4">
        <v>40.6</v>
      </c>
      <c r="J807" s="5">
        <v>157052.4455922865</v>
      </c>
      <c r="K807" s="6" t="s">
        <v>27</v>
      </c>
      <c r="L807" s="5">
        <v>0</v>
      </c>
      <c r="M807" s="5">
        <v>0</v>
      </c>
      <c r="N807" s="11">
        <v>0</v>
      </c>
      <c r="O807" s="13">
        <v>2024</v>
      </c>
    </row>
    <row r="808" spans="1:15" ht="14.5" customHeight="1" x14ac:dyDescent="0.35">
      <c r="A808" s="20" t="s">
        <v>1624</v>
      </c>
      <c r="B808" s="15" t="s">
        <v>1625</v>
      </c>
      <c r="C808" s="15" t="s">
        <v>3108</v>
      </c>
      <c r="D808" s="16" t="s">
        <v>13</v>
      </c>
      <c r="E808" s="15" t="s">
        <v>186</v>
      </c>
      <c r="F808" s="15" t="s">
        <v>170</v>
      </c>
      <c r="G808" s="17" t="str">
        <f t="shared" si="12"/>
        <v>Small</v>
      </c>
      <c r="H808" s="3">
        <v>2716</v>
      </c>
      <c r="I808" s="4">
        <v>50.2</v>
      </c>
      <c r="J808" s="5">
        <v>122007.02282768778</v>
      </c>
      <c r="K808" s="6">
        <v>4.6171803155033388E-5</v>
      </c>
      <c r="L808" s="5">
        <v>200.4156848306333</v>
      </c>
      <c r="M808" s="5">
        <v>0</v>
      </c>
      <c r="N808" s="11">
        <v>1294.9970544918999</v>
      </c>
      <c r="O808" s="13">
        <v>2024</v>
      </c>
    </row>
    <row r="809" spans="1:15" ht="14.5" customHeight="1" x14ac:dyDescent="0.35">
      <c r="A809" s="20" t="s">
        <v>1626</v>
      </c>
      <c r="B809" s="15" t="s">
        <v>1627</v>
      </c>
      <c r="C809" s="15" t="s">
        <v>3108</v>
      </c>
      <c r="D809" s="16" t="s">
        <v>43</v>
      </c>
      <c r="E809" s="15" t="s">
        <v>207</v>
      </c>
      <c r="F809" s="15" t="s">
        <v>208</v>
      </c>
      <c r="G809" s="17" t="str">
        <f t="shared" si="12"/>
        <v>Medium</v>
      </c>
      <c r="H809" s="3">
        <v>19038</v>
      </c>
      <c r="I809" s="4">
        <v>64.599999999999994</v>
      </c>
      <c r="J809" s="5">
        <v>151213.54165353504</v>
      </c>
      <c r="K809" s="6">
        <v>4.6001442725818421E-3</v>
      </c>
      <c r="L809" s="5">
        <v>746.22801764891267</v>
      </c>
      <c r="M809" s="5">
        <v>422.72560142872152</v>
      </c>
      <c r="N809" s="11">
        <v>1177.3431557936758</v>
      </c>
      <c r="O809" s="13">
        <v>2024</v>
      </c>
    </row>
    <row r="810" spans="1:15" ht="14.5" customHeight="1" x14ac:dyDescent="0.35">
      <c r="A810" s="20" t="s">
        <v>1628</v>
      </c>
      <c r="B810" s="15" t="s">
        <v>1629</v>
      </c>
      <c r="C810" s="15" t="s">
        <v>3108</v>
      </c>
      <c r="D810" s="16" t="s">
        <v>234</v>
      </c>
      <c r="E810" s="15" t="s">
        <v>178</v>
      </c>
      <c r="F810" s="15" t="s">
        <v>170</v>
      </c>
      <c r="G810" s="17" t="str">
        <f t="shared" si="12"/>
        <v>Small</v>
      </c>
      <c r="H810" s="3">
        <v>1632</v>
      </c>
      <c r="I810" s="4">
        <v>36</v>
      </c>
      <c r="J810" s="5">
        <v>68675.838848039217</v>
      </c>
      <c r="K810" s="6">
        <v>5.5066166784599885E-3</v>
      </c>
      <c r="L810" s="5">
        <v>534.81005514705885</v>
      </c>
      <c r="M810" s="5">
        <v>514.83272058823525</v>
      </c>
      <c r="N810" s="11">
        <v>959.84617034313726</v>
      </c>
      <c r="O810" s="13">
        <v>2024</v>
      </c>
    </row>
    <row r="811" spans="1:15" ht="14.5" customHeight="1" x14ac:dyDescent="0.35">
      <c r="A811" s="20" t="s">
        <v>1630</v>
      </c>
      <c r="B811" s="15" t="s">
        <v>1631</v>
      </c>
      <c r="C811" s="15" t="s">
        <v>3108</v>
      </c>
      <c r="D811" s="16" t="s">
        <v>55</v>
      </c>
      <c r="E811" s="15" t="s">
        <v>207</v>
      </c>
      <c r="F811" s="15" t="s">
        <v>208</v>
      </c>
      <c r="G811" s="17" t="str">
        <f t="shared" si="12"/>
        <v>Medium</v>
      </c>
      <c r="H811" s="3">
        <v>18253</v>
      </c>
      <c r="I811" s="4">
        <v>6.7</v>
      </c>
      <c r="J811" s="5">
        <v>656391.31885169563</v>
      </c>
      <c r="K811" s="6">
        <v>0</v>
      </c>
      <c r="L811" s="5">
        <v>70.832750232838436</v>
      </c>
      <c r="M811" s="5">
        <v>0</v>
      </c>
      <c r="N811" s="11">
        <v>206.02131430449788</v>
      </c>
      <c r="O811" s="13">
        <v>2024</v>
      </c>
    </row>
    <row r="812" spans="1:15" ht="14.5" customHeight="1" x14ac:dyDescent="0.35">
      <c r="A812" s="20" t="s">
        <v>1632</v>
      </c>
      <c r="B812" s="15" t="s">
        <v>1633</v>
      </c>
      <c r="C812" s="15" t="s">
        <v>3108</v>
      </c>
      <c r="D812" s="16" t="s">
        <v>77</v>
      </c>
      <c r="E812" s="15" t="s">
        <v>217</v>
      </c>
      <c r="F812" s="15" t="s">
        <v>170</v>
      </c>
      <c r="G812" s="17" t="str">
        <f t="shared" si="12"/>
        <v>Small</v>
      </c>
      <c r="H812" s="3">
        <v>7445</v>
      </c>
      <c r="I812" s="4">
        <v>49.8</v>
      </c>
      <c r="J812" s="5">
        <v>121350.93109469443</v>
      </c>
      <c r="K812" s="6">
        <v>2.9378299093371367E-3</v>
      </c>
      <c r="L812" s="5">
        <v>606.56051040967088</v>
      </c>
      <c r="M812" s="5">
        <v>248.61155137676292</v>
      </c>
      <c r="N812" s="11">
        <v>749.17931497649431</v>
      </c>
      <c r="O812" s="13">
        <v>2024</v>
      </c>
    </row>
    <row r="813" spans="1:15" ht="14.5" customHeight="1" x14ac:dyDescent="0.35">
      <c r="A813" s="20" t="s">
        <v>1634</v>
      </c>
      <c r="B813" s="15" t="s">
        <v>1635</v>
      </c>
      <c r="C813" s="15" t="s">
        <v>3108</v>
      </c>
      <c r="D813" s="16" t="s">
        <v>77</v>
      </c>
      <c r="E813" s="15" t="s">
        <v>217</v>
      </c>
      <c r="F813" s="15" t="s">
        <v>170</v>
      </c>
      <c r="G813" s="17" t="str">
        <f t="shared" si="12"/>
        <v>Medium</v>
      </c>
      <c r="H813" s="3">
        <v>12965</v>
      </c>
      <c r="I813" s="4">
        <v>61.9</v>
      </c>
      <c r="J813" s="5">
        <v>135209.82121095256</v>
      </c>
      <c r="K813" s="6">
        <v>3.7875154535779451E-3</v>
      </c>
      <c r="L813" s="5">
        <v>705.90049055148472</v>
      </c>
      <c r="M813" s="5">
        <v>445.071732356344</v>
      </c>
      <c r="N813" s="11">
        <v>1517.3503224064789</v>
      </c>
      <c r="O813" s="13">
        <v>2024</v>
      </c>
    </row>
    <row r="814" spans="1:15" ht="14.5" customHeight="1" x14ac:dyDescent="0.35">
      <c r="A814" s="20" t="s">
        <v>1636</v>
      </c>
      <c r="B814" s="15" t="s">
        <v>338</v>
      </c>
      <c r="C814" s="15" t="s">
        <v>3108</v>
      </c>
      <c r="D814" s="16" t="s">
        <v>338</v>
      </c>
      <c r="E814" s="15" t="s">
        <v>214</v>
      </c>
      <c r="F814" s="15" t="s">
        <v>170</v>
      </c>
      <c r="G814" s="17" t="str">
        <f t="shared" si="12"/>
        <v>Small</v>
      </c>
      <c r="H814" s="3">
        <v>3107</v>
      </c>
      <c r="I814" s="4">
        <v>29.8</v>
      </c>
      <c r="J814" s="5">
        <v>85280.668490505312</v>
      </c>
      <c r="K814" s="6">
        <v>3.1247815176345876E-3</v>
      </c>
      <c r="L814" s="5">
        <v>337.16198583842936</v>
      </c>
      <c r="M814" s="5">
        <v>5.3894431927904733</v>
      </c>
      <c r="N814" s="11">
        <v>640.6757611844223</v>
      </c>
      <c r="O814" s="13">
        <v>2024</v>
      </c>
    </row>
    <row r="815" spans="1:15" ht="14.5" customHeight="1" x14ac:dyDescent="0.35">
      <c r="A815" s="20" t="s">
        <v>1637</v>
      </c>
      <c r="B815" s="15" t="s">
        <v>1638</v>
      </c>
      <c r="C815" s="15" t="s">
        <v>3108</v>
      </c>
      <c r="D815" s="16" t="s">
        <v>26</v>
      </c>
      <c r="E815" s="15" t="s">
        <v>183</v>
      </c>
      <c r="F815" s="15" t="s">
        <v>170</v>
      </c>
      <c r="G815" s="17" t="str">
        <f t="shared" si="12"/>
        <v>Small</v>
      </c>
      <c r="H815" s="3">
        <v>7969</v>
      </c>
      <c r="I815" s="4">
        <v>42.2</v>
      </c>
      <c r="J815" s="5">
        <v>73643.33906387251</v>
      </c>
      <c r="K815" s="6">
        <v>4.3388993911464314E-3</v>
      </c>
      <c r="L815" s="5">
        <v>380.11016187727449</v>
      </c>
      <c r="M815" s="5">
        <v>936.47941397916929</v>
      </c>
      <c r="N815" s="11">
        <v>985.51109925963112</v>
      </c>
      <c r="O815" s="13">
        <v>2024</v>
      </c>
    </row>
    <row r="816" spans="1:15" ht="14.5" customHeight="1" x14ac:dyDescent="0.35">
      <c r="A816" s="20" t="s">
        <v>1639</v>
      </c>
      <c r="B816" s="15" t="s">
        <v>1640</v>
      </c>
      <c r="C816" s="15" t="s">
        <v>3108</v>
      </c>
      <c r="D816" s="16" t="s">
        <v>496</v>
      </c>
      <c r="E816" s="15" t="s">
        <v>169</v>
      </c>
      <c r="F816" s="15" t="s">
        <v>170</v>
      </c>
      <c r="G816" s="17" t="str">
        <f t="shared" si="12"/>
        <v>Small</v>
      </c>
      <c r="H816" s="3">
        <v>1880</v>
      </c>
      <c r="I816" s="4">
        <v>132.69999999999999</v>
      </c>
      <c r="J816" s="5">
        <v>494639.93031914893</v>
      </c>
      <c r="K816" s="6">
        <v>3.119921826565634E-3</v>
      </c>
      <c r="L816" s="5">
        <v>1688.317670212766</v>
      </c>
      <c r="M816" s="5">
        <v>1966.1781914893618</v>
      </c>
      <c r="N816" s="11">
        <v>2887.2637127659577</v>
      </c>
      <c r="O816" s="13">
        <v>2024</v>
      </c>
    </row>
    <row r="817" spans="1:15" ht="14.5" customHeight="1" x14ac:dyDescent="0.35">
      <c r="A817" s="20" t="s">
        <v>1641</v>
      </c>
      <c r="B817" s="15" t="s">
        <v>451</v>
      </c>
      <c r="C817" s="15" t="s">
        <v>3108</v>
      </c>
      <c r="D817" s="16" t="s">
        <v>46</v>
      </c>
      <c r="E817" s="15" t="s">
        <v>214</v>
      </c>
      <c r="F817" s="15" t="s">
        <v>170</v>
      </c>
      <c r="G817" s="17" t="str">
        <f t="shared" si="12"/>
        <v>Small</v>
      </c>
      <c r="H817" s="3">
        <v>3296</v>
      </c>
      <c r="I817" s="4">
        <v>39.9</v>
      </c>
      <c r="J817" s="5">
        <v>84448.10679611651</v>
      </c>
      <c r="K817" s="6">
        <v>3.2043817410128926E-3</v>
      </c>
      <c r="L817" s="5">
        <v>445.44802791262134</v>
      </c>
      <c r="M817" s="5">
        <v>151.69902912621359</v>
      </c>
      <c r="N817" s="11">
        <v>615.0097997572816</v>
      </c>
      <c r="O817" s="13">
        <v>2024</v>
      </c>
    </row>
    <row r="818" spans="1:15" ht="14.5" customHeight="1" x14ac:dyDescent="0.35">
      <c r="A818" s="20" t="s">
        <v>1642</v>
      </c>
      <c r="B818" s="15" t="s">
        <v>1643</v>
      </c>
      <c r="C818" s="15" t="s">
        <v>3108</v>
      </c>
      <c r="D818" s="16" t="s">
        <v>73</v>
      </c>
      <c r="E818" s="15" t="s">
        <v>169</v>
      </c>
      <c r="F818" s="15" t="s">
        <v>170</v>
      </c>
      <c r="G818" s="17" t="str">
        <f t="shared" si="12"/>
        <v>Small</v>
      </c>
      <c r="H818" s="3">
        <v>4843</v>
      </c>
      <c r="I818" s="4">
        <v>36.5</v>
      </c>
      <c r="J818" s="5">
        <v>80900.427833987196</v>
      </c>
      <c r="K818" s="6">
        <v>5.1729760246618404E-3</v>
      </c>
      <c r="L818" s="5">
        <v>573.53417303324386</v>
      </c>
      <c r="M818" s="5">
        <v>254.76935783605202</v>
      </c>
      <c r="N818" s="11">
        <v>932.74055337600657</v>
      </c>
      <c r="O818" s="13">
        <v>2024</v>
      </c>
    </row>
    <row r="819" spans="1:15" ht="14.5" customHeight="1" x14ac:dyDescent="0.35">
      <c r="A819" s="20" t="s">
        <v>1644</v>
      </c>
      <c r="B819" s="15" t="s">
        <v>1645</v>
      </c>
      <c r="C819" s="15" t="s">
        <v>3108</v>
      </c>
      <c r="D819" s="16" t="s">
        <v>193</v>
      </c>
      <c r="E819" s="15" t="s">
        <v>186</v>
      </c>
      <c r="F819" s="15" t="s">
        <v>170</v>
      </c>
      <c r="G819" s="17" t="str">
        <f t="shared" si="12"/>
        <v>Small</v>
      </c>
      <c r="H819" s="3">
        <v>1614</v>
      </c>
      <c r="I819" s="4">
        <v>35.299999999999997</v>
      </c>
      <c r="J819" s="5">
        <v>57994.976456009914</v>
      </c>
      <c r="K819" s="6">
        <v>7.6626490060904733E-3</v>
      </c>
      <c r="L819" s="5">
        <v>462.11509293680297</v>
      </c>
      <c r="M819" s="5">
        <v>458.94138166047088</v>
      </c>
      <c r="N819" s="11">
        <v>1204.1083767038413</v>
      </c>
      <c r="O819" s="13">
        <v>2024</v>
      </c>
    </row>
    <row r="820" spans="1:15" ht="14.5" customHeight="1" x14ac:dyDescent="0.35">
      <c r="A820" s="20" t="s">
        <v>1646</v>
      </c>
      <c r="B820" s="15" t="s">
        <v>1647</v>
      </c>
      <c r="C820" s="15" t="s">
        <v>3108</v>
      </c>
      <c r="D820" s="16" t="s">
        <v>5</v>
      </c>
      <c r="E820" s="15" t="s">
        <v>183</v>
      </c>
      <c r="F820" s="15" t="s">
        <v>170</v>
      </c>
      <c r="G820" s="17" t="str">
        <f t="shared" si="12"/>
        <v>Small</v>
      </c>
      <c r="H820" s="3">
        <v>1531</v>
      </c>
      <c r="I820" s="4">
        <v>36.6</v>
      </c>
      <c r="J820" s="5">
        <v>123855.72370999347</v>
      </c>
      <c r="K820" s="6">
        <v>1.5281923992039935E-3</v>
      </c>
      <c r="L820" s="5">
        <v>622.20386675375562</v>
      </c>
      <c r="M820" s="5">
        <v>0</v>
      </c>
      <c r="N820" s="11">
        <v>929.42557805355978</v>
      </c>
      <c r="O820" s="13">
        <v>2024</v>
      </c>
    </row>
    <row r="821" spans="1:15" ht="14.5" customHeight="1" x14ac:dyDescent="0.35">
      <c r="A821" s="20" t="s">
        <v>1648</v>
      </c>
      <c r="B821" s="15" t="s">
        <v>1649</v>
      </c>
      <c r="C821" s="15" t="s">
        <v>3108</v>
      </c>
      <c r="D821" s="16" t="s">
        <v>20</v>
      </c>
      <c r="E821" s="15" t="s">
        <v>183</v>
      </c>
      <c r="F821" s="15" t="s">
        <v>170</v>
      </c>
      <c r="G821" s="17" t="str">
        <f t="shared" si="12"/>
        <v>Small</v>
      </c>
      <c r="H821" s="3">
        <v>1077</v>
      </c>
      <c r="I821" s="4">
        <v>22.3</v>
      </c>
      <c r="J821" s="5">
        <v>83979.262766945219</v>
      </c>
      <c r="K821" s="6">
        <v>2.9017753045237128E-3</v>
      </c>
      <c r="L821" s="5">
        <v>570.71528319405752</v>
      </c>
      <c r="M821" s="5">
        <v>939.05756731662029</v>
      </c>
      <c r="N821" s="11">
        <v>2133.8027576601671</v>
      </c>
      <c r="O821" s="13">
        <v>2024</v>
      </c>
    </row>
    <row r="822" spans="1:15" ht="14.5" customHeight="1" x14ac:dyDescent="0.35">
      <c r="A822" s="20" t="s">
        <v>1650</v>
      </c>
      <c r="B822" s="15" t="s">
        <v>1651</v>
      </c>
      <c r="C822" s="15" t="s">
        <v>3108</v>
      </c>
      <c r="D822" s="16" t="s">
        <v>26</v>
      </c>
      <c r="E822" s="15" t="s">
        <v>183</v>
      </c>
      <c r="F822" s="15" t="s">
        <v>170</v>
      </c>
      <c r="G822" s="17" t="str">
        <f t="shared" si="12"/>
        <v>Small</v>
      </c>
      <c r="H822" s="3">
        <v>6617</v>
      </c>
      <c r="I822" s="4">
        <v>40.6</v>
      </c>
      <c r="J822" s="5">
        <v>81824.873809883633</v>
      </c>
      <c r="K822" s="6">
        <v>3.5892072881335987E-3</v>
      </c>
      <c r="L822" s="5">
        <v>708.6953876379024</v>
      </c>
      <c r="M822" s="5">
        <v>828.62702130875016</v>
      </c>
      <c r="N822" s="11">
        <v>1247.8773416956324</v>
      </c>
      <c r="O822" s="13">
        <v>2024</v>
      </c>
    </row>
    <row r="823" spans="1:15" ht="14.5" customHeight="1" x14ac:dyDescent="0.35">
      <c r="A823" s="20" t="s">
        <v>1652</v>
      </c>
      <c r="B823" s="15" t="s">
        <v>1653</v>
      </c>
      <c r="C823" s="15" t="s">
        <v>3108</v>
      </c>
      <c r="D823" s="16" t="s">
        <v>5</v>
      </c>
      <c r="E823" s="15" t="s">
        <v>183</v>
      </c>
      <c r="F823" s="15" t="s">
        <v>170</v>
      </c>
      <c r="G823" s="17" t="str">
        <f t="shared" si="12"/>
        <v>Small</v>
      </c>
      <c r="H823" s="3">
        <v>840</v>
      </c>
      <c r="I823" s="4">
        <v>29.3</v>
      </c>
      <c r="J823" s="5">
        <v>120397.27857142857</v>
      </c>
      <c r="K823" s="6">
        <v>2.4851257811020371E-3</v>
      </c>
      <c r="L823" s="5">
        <v>692.86309523809518</v>
      </c>
      <c r="M823" s="5">
        <v>0</v>
      </c>
      <c r="N823" s="11">
        <v>737.27261904761906</v>
      </c>
      <c r="O823" s="13">
        <v>2024</v>
      </c>
    </row>
    <row r="824" spans="1:15" ht="14.5" customHeight="1" x14ac:dyDescent="0.35">
      <c r="A824" s="20" t="s">
        <v>1654</v>
      </c>
      <c r="B824" s="15" t="s">
        <v>588</v>
      </c>
      <c r="C824" s="15" t="s">
        <v>3108</v>
      </c>
      <c r="D824" s="16" t="s">
        <v>15</v>
      </c>
      <c r="E824" s="15" t="s">
        <v>178</v>
      </c>
      <c r="F824" s="15" t="s">
        <v>170</v>
      </c>
      <c r="G824" s="17" t="str">
        <f t="shared" si="12"/>
        <v>Small</v>
      </c>
      <c r="H824" s="3">
        <v>2644</v>
      </c>
      <c r="I824" s="4">
        <v>50.5</v>
      </c>
      <c r="J824" s="5">
        <v>107933.81883509834</v>
      </c>
      <c r="K824" s="6">
        <v>5.7818251005125607E-5</v>
      </c>
      <c r="L824" s="5">
        <v>498.33663388804842</v>
      </c>
      <c r="M824" s="5">
        <v>0</v>
      </c>
      <c r="N824" s="11">
        <v>1942.9610552193647</v>
      </c>
      <c r="O824" s="13">
        <v>2024</v>
      </c>
    </row>
    <row r="825" spans="1:15" ht="14.5" customHeight="1" x14ac:dyDescent="0.35">
      <c r="A825" s="20" t="s">
        <v>1655</v>
      </c>
      <c r="B825" s="15" t="s">
        <v>1656</v>
      </c>
      <c r="C825" s="15" t="s">
        <v>3108</v>
      </c>
      <c r="D825" s="16" t="s">
        <v>588</v>
      </c>
      <c r="E825" s="15" t="s">
        <v>178</v>
      </c>
      <c r="F825" s="15" t="s">
        <v>170</v>
      </c>
      <c r="G825" s="17" t="str">
        <f t="shared" si="12"/>
        <v>Small</v>
      </c>
      <c r="H825" s="3">
        <v>9027</v>
      </c>
      <c r="I825" s="4">
        <v>24.2</v>
      </c>
      <c r="J825" s="5">
        <v>76405.165503489538</v>
      </c>
      <c r="K825" s="6" t="s">
        <v>27</v>
      </c>
      <c r="L825" s="5">
        <v>0</v>
      </c>
      <c r="M825" s="5">
        <v>0</v>
      </c>
      <c r="N825" s="11">
        <v>0</v>
      </c>
      <c r="O825" s="13">
        <v>2024</v>
      </c>
    </row>
    <row r="826" spans="1:15" ht="14.5" customHeight="1" x14ac:dyDescent="0.35">
      <c r="A826" s="20" t="s">
        <v>1657</v>
      </c>
      <c r="B826" s="15" t="s">
        <v>1658</v>
      </c>
      <c r="C826" s="15" t="s">
        <v>3108</v>
      </c>
      <c r="D826" s="16" t="s">
        <v>5</v>
      </c>
      <c r="E826" s="15" t="s">
        <v>183</v>
      </c>
      <c r="F826" s="15" t="s">
        <v>170</v>
      </c>
      <c r="G826" s="17" t="str">
        <f t="shared" si="12"/>
        <v>Small</v>
      </c>
      <c r="H826" s="3">
        <v>3304</v>
      </c>
      <c r="I826" s="4">
        <v>28.8</v>
      </c>
      <c r="J826" s="5">
        <v>137820.57173123487</v>
      </c>
      <c r="K826" s="6" t="s">
        <v>27</v>
      </c>
      <c r="L826" s="5">
        <v>0</v>
      </c>
      <c r="M826" s="5">
        <v>0</v>
      </c>
      <c r="N826" s="11">
        <v>0</v>
      </c>
      <c r="O826" s="13">
        <v>2024</v>
      </c>
    </row>
    <row r="827" spans="1:15" ht="14.5" customHeight="1" x14ac:dyDescent="0.35">
      <c r="A827" s="20" t="s">
        <v>1659</v>
      </c>
      <c r="B827" s="15" t="s">
        <v>1660</v>
      </c>
      <c r="C827" s="15" t="s">
        <v>3108</v>
      </c>
      <c r="D827" s="16" t="s">
        <v>338</v>
      </c>
      <c r="E827" s="15" t="s">
        <v>214</v>
      </c>
      <c r="F827" s="15" t="s">
        <v>170</v>
      </c>
      <c r="G827" s="17" t="str">
        <f t="shared" si="12"/>
        <v>Small</v>
      </c>
      <c r="H827" s="3">
        <v>1583</v>
      </c>
      <c r="I827" s="4">
        <v>36.4</v>
      </c>
      <c r="J827" s="5">
        <v>102947.80795957043</v>
      </c>
      <c r="K827" s="6">
        <v>3.4508774141022219E-3</v>
      </c>
      <c r="L827" s="5">
        <v>417.62766898294376</v>
      </c>
      <c r="M827" s="5">
        <v>0</v>
      </c>
      <c r="N827" s="11">
        <v>591.21740998104872</v>
      </c>
      <c r="O827" s="13">
        <v>2024</v>
      </c>
    </row>
    <row r="828" spans="1:15" ht="14.5" customHeight="1" x14ac:dyDescent="0.35">
      <c r="A828" s="20" t="s">
        <v>1661</v>
      </c>
      <c r="B828" s="15" t="s">
        <v>1662</v>
      </c>
      <c r="C828" s="15" t="s">
        <v>3108</v>
      </c>
      <c r="D828" s="16" t="s">
        <v>43</v>
      </c>
      <c r="E828" s="15" t="s">
        <v>207</v>
      </c>
      <c r="F828" s="15" t="s">
        <v>208</v>
      </c>
      <c r="G828" s="17" t="str">
        <f t="shared" si="12"/>
        <v>Small</v>
      </c>
      <c r="H828" s="3">
        <v>2866</v>
      </c>
      <c r="I828" s="4">
        <v>119.8</v>
      </c>
      <c r="J828" s="5">
        <v>366785.53419399861</v>
      </c>
      <c r="K828" s="6" t="s">
        <v>27</v>
      </c>
      <c r="L828" s="5">
        <v>0</v>
      </c>
      <c r="M828" s="5">
        <v>0</v>
      </c>
      <c r="N828" s="11">
        <v>0</v>
      </c>
      <c r="O828" s="13">
        <v>2024</v>
      </c>
    </row>
    <row r="829" spans="1:15" ht="14.5" customHeight="1" x14ac:dyDescent="0.35">
      <c r="A829" s="20" t="s">
        <v>1663</v>
      </c>
      <c r="B829" s="15" t="s">
        <v>1664</v>
      </c>
      <c r="C829" s="15" t="s">
        <v>3108</v>
      </c>
      <c r="D829" s="16" t="s">
        <v>338</v>
      </c>
      <c r="E829" s="15" t="s">
        <v>214</v>
      </c>
      <c r="F829" s="15" t="s">
        <v>170</v>
      </c>
      <c r="G829" s="17" t="str">
        <f t="shared" si="12"/>
        <v>Small</v>
      </c>
      <c r="H829" s="3">
        <v>1697</v>
      </c>
      <c r="I829" s="4">
        <v>39.1</v>
      </c>
      <c r="J829" s="5">
        <v>97749.649970536237</v>
      </c>
      <c r="K829" s="6">
        <v>2.1119652071872469E-3</v>
      </c>
      <c r="L829" s="5">
        <v>424.5535945786682</v>
      </c>
      <c r="M829" s="5">
        <v>0</v>
      </c>
      <c r="N829" s="11">
        <v>691.38719505008839</v>
      </c>
      <c r="O829" s="13">
        <v>2024</v>
      </c>
    </row>
    <row r="830" spans="1:15" ht="14.5" customHeight="1" x14ac:dyDescent="0.35">
      <c r="A830" s="20" t="s">
        <v>1665</v>
      </c>
      <c r="B830" s="15" t="s">
        <v>1666</v>
      </c>
      <c r="C830" s="15" t="s">
        <v>3108</v>
      </c>
      <c r="D830" s="16" t="s">
        <v>43</v>
      </c>
      <c r="E830" s="15" t="s">
        <v>207</v>
      </c>
      <c r="F830" s="15" t="s">
        <v>208</v>
      </c>
      <c r="G830" s="17" t="str">
        <f t="shared" si="12"/>
        <v>Medium</v>
      </c>
      <c r="H830" s="3">
        <v>13563</v>
      </c>
      <c r="I830" s="4">
        <v>56.1</v>
      </c>
      <c r="J830" s="5">
        <v>114621.28555629286</v>
      </c>
      <c r="K830" s="6">
        <v>3.0450457540790381E-3</v>
      </c>
      <c r="L830" s="5">
        <v>390.88601341886016</v>
      </c>
      <c r="M830" s="5">
        <v>198.8102189781022</v>
      </c>
      <c r="N830" s="11">
        <v>646.55968443559686</v>
      </c>
      <c r="O830" s="13">
        <v>2024</v>
      </c>
    </row>
    <row r="831" spans="1:15" ht="14.5" customHeight="1" x14ac:dyDescent="0.35">
      <c r="A831" s="20" t="s">
        <v>1667</v>
      </c>
      <c r="B831" s="15" t="s">
        <v>1668</v>
      </c>
      <c r="C831" s="15" t="s">
        <v>3108</v>
      </c>
      <c r="D831" s="16" t="s">
        <v>181</v>
      </c>
      <c r="E831" s="15" t="s">
        <v>178</v>
      </c>
      <c r="F831" s="15" t="s">
        <v>170</v>
      </c>
      <c r="G831" s="17" t="str">
        <f t="shared" si="12"/>
        <v>Small</v>
      </c>
      <c r="H831" s="3">
        <v>4907</v>
      </c>
      <c r="I831" s="4">
        <v>46.4</v>
      </c>
      <c r="J831" s="5">
        <v>61302.208885265944</v>
      </c>
      <c r="K831" s="6">
        <v>4.5249568698592767E-3</v>
      </c>
      <c r="L831" s="5">
        <v>339.30295088648865</v>
      </c>
      <c r="M831" s="5">
        <v>572.38638679437543</v>
      </c>
      <c r="N831" s="11">
        <v>626.3249459955166</v>
      </c>
      <c r="O831" s="13">
        <v>2024</v>
      </c>
    </row>
    <row r="832" spans="1:15" ht="14.5" customHeight="1" x14ac:dyDescent="0.35">
      <c r="A832" s="20" t="s">
        <v>1669</v>
      </c>
      <c r="B832" s="15" t="s">
        <v>1670</v>
      </c>
      <c r="C832" s="15" t="s">
        <v>3108</v>
      </c>
      <c r="D832" s="16" t="s">
        <v>231</v>
      </c>
      <c r="E832" s="15" t="s">
        <v>178</v>
      </c>
      <c r="F832" s="15" t="s">
        <v>170</v>
      </c>
      <c r="G832" s="17" t="str">
        <f t="shared" ref="G832:G895" si="13">IF(H832&lt;=10000,"Small",(IF(H832&lt;=100000,"Medium",IF(H832&gt;100000,"Large"))))</f>
        <v>Small</v>
      </c>
      <c r="H832" s="3">
        <v>2367</v>
      </c>
      <c r="I832" s="4">
        <v>47.4</v>
      </c>
      <c r="J832" s="5">
        <v>89969.730038022812</v>
      </c>
      <c r="K832" s="6">
        <v>1.3907285561203468E-3</v>
      </c>
      <c r="L832" s="5">
        <v>588.28178284748628</v>
      </c>
      <c r="M832" s="5">
        <v>337.55809040980142</v>
      </c>
      <c r="N832" s="11">
        <v>829.50065483734693</v>
      </c>
      <c r="O832" s="13">
        <v>2024</v>
      </c>
    </row>
    <row r="833" spans="1:15" ht="14.5" customHeight="1" x14ac:dyDescent="0.35">
      <c r="A833" s="20" t="s">
        <v>1671</v>
      </c>
      <c r="B833" s="15" t="s">
        <v>1672</v>
      </c>
      <c r="C833" s="15" t="s">
        <v>3108</v>
      </c>
      <c r="D833" s="16" t="s">
        <v>272</v>
      </c>
      <c r="E833" s="15" t="s">
        <v>273</v>
      </c>
      <c r="F833" s="15" t="s">
        <v>208</v>
      </c>
      <c r="G833" s="17" t="str">
        <f t="shared" si="13"/>
        <v>Small</v>
      </c>
      <c r="H833" s="3">
        <v>3253</v>
      </c>
      <c r="I833" s="4">
        <v>12.2</v>
      </c>
      <c r="J833" s="5">
        <v>1613673.4672609898</v>
      </c>
      <c r="K833" s="6">
        <v>2.2522154419687E-3</v>
      </c>
      <c r="L833" s="5">
        <v>4753.5176759913929</v>
      </c>
      <c r="M833" s="5">
        <v>0</v>
      </c>
      <c r="N833" s="11">
        <v>5523.354442053489</v>
      </c>
      <c r="O833" s="13">
        <v>2024</v>
      </c>
    </row>
    <row r="834" spans="1:15" ht="14.5" customHeight="1" x14ac:dyDescent="0.35">
      <c r="A834" s="20" t="s">
        <v>1673</v>
      </c>
      <c r="B834" s="15" t="s">
        <v>1674</v>
      </c>
      <c r="C834" s="15" t="s">
        <v>3108</v>
      </c>
      <c r="D834" s="16" t="s">
        <v>61</v>
      </c>
      <c r="E834" s="15" t="s">
        <v>173</v>
      </c>
      <c r="F834" s="15" t="s">
        <v>170</v>
      </c>
      <c r="G834" s="17" t="str">
        <f t="shared" si="13"/>
        <v>Small</v>
      </c>
      <c r="H834" s="3">
        <v>3973</v>
      </c>
      <c r="I834" s="4">
        <v>43.6</v>
      </c>
      <c r="J834" s="5">
        <v>65278.077774981124</v>
      </c>
      <c r="K834" s="6">
        <v>5.720332087547411E-3</v>
      </c>
      <c r="L834" s="5">
        <v>475.91945633022902</v>
      </c>
      <c r="M834" s="5">
        <v>0</v>
      </c>
      <c r="N834" s="11">
        <v>633.93279637553485</v>
      </c>
      <c r="O834" s="13">
        <v>2024</v>
      </c>
    </row>
    <row r="835" spans="1:15" ht="14.5" customHeight="1" x14ac:dyDescent="0.35">
      <c r="A835" s="20" t="s">
        <v>1675</v>
      </c>
      <c r="B835" s="15" t="s">
        <v>1676</v>
      </c>
      <c r="C835" s="15" t="s">
        <v>3108</v>
      </c>
      <c r="D835" s="16" t="s">
        <v>22</v>
      </c>
      <c r="E835" s="15" t="s">
        <v>186</v>
      </c>
      <c r="F835" s="15" t="s">
        <v>170</v>
      </c>
      <c r="G835" s="17" t="str">
        <f t="shared" si="13"/>
        <v>Small</v>
      </c>
      <c r="H835" s="3">
        <v>2564</v>
      </c>
      <c r="I835" s="4">
        <v>37.299999999999997</v>
      </c>
      <c r="J835" s="5">
        <v>105423.21489859595</v>
      </c>
      <c r="K835" s="6">
        <v>2.0066878273705523E-3</v>
      </c>
      <c r="L835" s="5">
        <v>529.23244929797193</v>
      </c>
      <c r="M835" s="5">
        <v>192.37870514820594</v>
      </c>
      <c r="N835" s="11">
        <v>749.63767550702028</v>
      </c>
      <c r="O835" s="13">
        <v>2024</v>
      </c>
    </row>
    <row r="836" spans="1:15" ht="14.5" customHeight="1" x14ac:dyDescent="0.35">
      <c r="A836" s="20" t="s">
        <v>1677</v>
      </c>
      <c r="B836" s="15" t="s">
        <v>1678</v>
      </c>
      <c r="C836" s="15" t="s">
        <v>3108</v>
      </c>
      <c r="D836" s="16" t="s">
        <v>22</v>
      </c>
      <c r="E836" s="15" t="s">
        <v>186</v>
      </c>
      <c r="F836" s="15" t="s">
        <v>170</v>
      </c>
      <c r="G836" s="17" t="str">
        <f t="shared" si="13"/>
        <v>Small</v>
      </c>
      <c r="H836" s="3">
        <v>1622</v>
      </c>
      <c r="I836" s="4">
        <v>36.299999999999997</v>
      </c>
      <c r="J836" s="5">
        <v>59872.250924784217</v>
      </c>
      <c r="K836" s="6">
        <v>4.3591374075532437E-3</v>
      </c>
      <c r="L836" s="5">
        <v>431.62145499383479</v>
      </c>
      <c r="M836" s="5">
        <v>0</v>
      </c>
      <c r="N836" s="11">
        <v>577.52281134401971</v>
      </c>
      <c r="O836" s="13">
        <v>2024</v>
      </c>
    </row>
    <row r="837" spans="1:15" ht="14.5" customHeight="1" x14ac:dyDescent="0.35">
      <c r="A837" s="20" t="s">
        <v>1679</v>
      </c>
      <c r="B837" s="15" t="s">
        <v>1680</v>
      </c>
      <c r="C837" s="15" t="s">
        <v>3108</v>
      </c>
      <c r="D837" s="16" t="s">
        <v>220</v>
      </c>
      <c r="E837" s="15" t="s">
        <v>173</v>
      </c>
      <c r="F837" s="15" t="s">
        <v>170</v>
      </c>
      <c r="G837" s="17" t="str">
        <f t="shared" si="13"/>
        <v>Small</v>
      </c>
      <c r="H837" s="3">
        <v>5536</v>
      </c>
      <c r="I837" s="4">
        <v>49.9</v>
      </c>
      <c r="J837" s="5">
        <v>67753.208634393057</v>
      </c>
      <c r="K837" s="6">
        <v>3.2057250408093021E-3</v>
      </c>
      <c r="L837" s="5">
        <v>221.91308345375725</v>
      </c>
      <c r="M837" s="5">
        <v>0</v>
      </c>
      <c r="N837" s="11">
        <v>477.94648843930634</v>
      </c>
      <c r="O837" s="13">
        <v>2024</v>
      </c>
    </row>
    <row r="838" spans="1:15" ht="14.5" customHeight="1" x14ac:dyDescent="0.35">
      <c r="A838" s="20" t="s">
        <v>1681</v>
      </c>
      <c r="B838" s="15" t="s">
        <v>1682</v>
      </c>
      <c r="C838" s="15" t="s">
        <v>3108</v>
      </c>
      <c r="D838" s="16" t="s">
        <v>89</v>
      </c>
      <c r="E838" s="15" t="s">
        <v>183</v>
      </c>
      <c r="F838" s="15" t="s">
        <v>170</v>
      </c>
      <c r="G838" s="17" t="str">
        <f t="shared" si="13"/>
        <v>Small</v>
      </c>
      <c r="H838" s="3">
        <v>7112</v>
      </c>
      <c r="I838" s="4">
        <v>42.6</v>
      </c>
      <c r="J838" s="5">
        <v>367978.18757030374</v>
      </c>
      <c r="K838" s="6">
        <v>1.7036355749723161E-3</v>
      </c>
      <c r="L838" s="5">
        <v>648.1711192350956</v>
      </c>
      <c r="M838" s="5">
        <v>153.34561304836896</v>
      </c>
      <c r="N838" s="11">
        <v>833.21723847019121</v>
      </c>
      <c r="O838" s="13">
        <v>2024</v>
      </c>
    </row>
    <row r="839" spans="1:15" ht="14.5" customHeight="1" x14ac:dyDescent="0.35">
      <c r="A839" s="20" t="s">
        <v>1683</v>
      </c>
      <c r="B839" s="15" t="s">
        <v>1684</v>
      </c>
      <c r="C839" s="15" t="s">
        <v>3108</v>
      </c>
      <c r="D839" s="16" t="s">
        <v>67</v>
      </c>
      <c r="E839" s="15" t="s">
        <v>183</v>
      </c>
      <c r="F839" s="15" t="s">
        <v>170</v>
      </c>
      <c r="G839" s="17" t="str">
        <f t="shared" si="13"/>
        <v>Small</v>
      </c>
      <c r="H839" s="3">
        <v>1127</v>
      </c>
      <c r="I839" s="4">
        <v>24.3</v>
      </c>
      <c r="J839" s="5">
        <v>71360.276841171246</v>
      </c>
      <c r="K839" s="6">
        <v>5.1117570399484566E-3</v>
      </c>
      <c r="L839" s="5">
        <v>542.77650399290155</v>
      </c>
      <c r="M839" s="5">
        <v>0</v>
      </c>
      <c r="N839" s="11">
        <v>633.68406388642404</v>
      </c>
      <c r="O839" s="13">
        <v>2024</v>
      </c>
    </row>
    <row r="840" spans="1:15" ht="14.5" customHeight="1" x14ac:dyDescent="0.35">
      <c r="A840" s="20" t="s">
        <v>1685</v>
      </c>
      <c r="B840" s="15" t="s">
        <v>1686</v>
      </c>
      <c r="C840" s="15" t="s">
        <v>3108</v>
      </c>
      <c r="D840" s="16" t="s">
        <v>272</v>
      </c>
      <c r="E840" s="15" t="s">
        <v>273</v>
      </c>
      <c r="F840" s="15" t="s">
        <v>208</v>
      </c>
      <c r="G840" s="17" t="str">
        <f t="shared" si="13"/>
        <v>Large</v>
      </c>
      <c r="H840" s="3">
        <v>116296</v>
      </c>
      <c r="I840" s="4">
        <v>53.7</v>
      </c>
      <c r="J840" s="5">
        <v>244795.95269828712</v>
      </c>
      <c r="K840" s="6">
        <v>2.2557352363971371E-3</v>
      </c>
      <c r="L840" s="5">
        <v>587.42285985760475</v>
      </c>
      <c r="M840" s="5">
        <v>374.04231443901767</v>
      </c>
      <c r="N840" s="11">
        <v>1293.2664003061154</v>
      </c>
      <c r="O840" s="13">
        <v>2024</v>
      </c>
    </row>
    <row r="841" spans="1:15" ht="14.5" customHeight="1" x14ac:dyDescent="0.35">
      <c r="A841" s="20" t="s">
        <v>1687</v>
      </c>
      <c r="B841" s="15" t="s">
        <v>1688</v>
      </c>
      <c r="C841" s="15" t="s">
        <v>3108</v>
      </c>
      <c r="D841" s="16" t="s">
        <v>61</v>
      </c>
      <c r="E841" s="15" t="s">
        <v>173</v>
      </c>
      <c r="F841" s="15" t="s">
        <v>170</v>
      </c>
      <c r="G841" s="17" t="str">
        <f t="shared" si="13"/>
        <v>Small</v>
      </c>
      <c r="H841" s="3">
        <v>1255</v>
      </c>
      <c r="I841" s="4">
        <v>50.4</v>
      </c>
      <c r="J841" s="5">
        <v>86299.282868525901</v>
      </c>
      <c r="K841" s="6">
        <v>5.9302627010976343E-3</v>
      </c>
      <c r="L841" s="5">
        <v>694.69591235059772</v>
      </c>
      <c r="M841" s="5">
        <v>172.39788047808764</v>
      </c>
      <c r="N841" s="11">
        <v>1061.3868127490039</v>
      </c>
      <c r="O841" s="13">
        <v>2024</v>
      </c>
    </row>
    <row r="842" spans="1:15" ht="14.5" customHeight="1" x14ac:dyDescent="0.35">
      <c r="A842" s="20" t="s">
        <v>1689</v>
      </c>
      <c r="B842" s="15" t="s">
        <v>1690</v>
      </c>
      <c r="C842" s="15" t="s">
        <v>3108</v>
      </c>
      <c r="D842" s="16" t="s">
        <v>61</v>
      </c>
      <c r="E842" s="15" t="s">
        <v>173</v>
      </c>
      <c r="F842" s="15" t="s">
        <v>170</v>
      </c>
      <c r="G842" s="17" t="str">
        <f t="shared" si="13"/>
        <v>Small</v>
      </c>
      <c r="H842" s="3">
        <v>1237</v>
      </c>
      <c r="I842" s="4">
        <v>42.1</v>
      </c>
      <c r="J842" s="5">
        <v>76497.354082457561</v>
      </c>
      <c r="K842" s="6">
        <v>4.5090510789246733E-3</v>
      </c>
      <c r="L842" s="5">
        <v>510.59456750202099</v>
      </c>
      <c r="M842" s="5">
        <v>0</v>
      </c>
      <c r="N842" s="11">
        <v>961.89675828617624</v>
      </c>
      <c r="O842" s="13">
        <v>2024</v>
      </c>
    </row>
    <row r="843" spans="1:15" ht="14.5" customHeight="1" x14ac:dyDescent="0.35">
      <c r="A843" s="20" t="s">
        <v>1691</v>
      </c>
      <c r="B843" s="15" t="s">
        <v>1692</v>
      </c>
      <c r="C843" s="15" t="s">
        <v>3108</v>
      </c>
      <c r="D843" s="16" t="s">
        <v>234</v>
      </c>
      <c r="E843" s="15" t="s">
        <v>178</v>
      </c>
      <c r="F843" s="15" t="s">
        <v>170</v>
      </c>
      <c r="G843" s="17" t="str">
        <f t="shared" si="13"/>
        <v>Small</v>
      </c>
      <c r="H843" s="3">
        <v>8028</v>
      </c>
      <c r="I843" s="4">
        <v>67.3</v>
      </c>
      <c r="J843" s="5">
        <v>84916.810911808672</v>
      </c>
      <c r="K843" s="6" t="s">
        <v>27</v>
      </c>
      <c r="L843" s="5">
        <v>0</v>
      </c>
      <c r="M843" s="5">
        <v>0</v>
      </c>
      <c r="N843" s="11">
        <v>0</v>
      </c>
      <c r="O843" s="13">
        <v>2024</v>
      </c>
    </row>
    <row r="844" spans="1:15" ht="14.5" customHeight="1" x14ac:dyDescent="0.35">
      <c r="A844" s="20" t="s">
        <v>1693</v>
      </c>
      <c r="B844" s="15" t="s">
        <v>1694</v>
      </c>
      <c r="C844" s="15" t="s">
        <v>3108</v>
      </c>
      <c r="D844" s="16" t="s">
        <v>20</v>
      </c>
      <c r="E844" s="15" t="s">
        <v>183</v>
      </c>
      <c r="F844" s="15" t="s">
        <v>170</v>
      </c>
      <c r="G844" s="17" t="str">
        <f t="shared" si="13"/>
        <v>Small</v>
      </c>
      <c r="H844" s="3">
        <v>1063</v>
      </c>
      <c r="I844" s="4">
        <v>29.7</v>
      </c>
      <c r="J844" s="5">
        <v>83947.377234242711</v>
      </c>
      <c r="K844" s="6">
        <v>3.7596907850998623E-3</v>
      </c>
      <c r="L844" s="5">
        <v>627.91883349012232</v>
      </c>
      <c r="M844" s="5">
        <v>0</v>
      </c>
      <c r="N844" s="11">
        <v>695.96929444967077</v>
      </c>
      <c r="O844" s="13">
        <v>2024</v>
      </c>
    </row>
    <row r="845" spans="1:15" ht="14.5" customHeight="1" x14ac:dyDescent="0.35">
      <c r="A845" s="20" t="s">
        <v>1695</v>
      </c>
      <c r="B845" s="15" t="s">
        <v>1696</v>
      </c>
      <c r="C845" s="15" t="s">
        <v>3108</v>
      </c>
      <c r="D845" s="16" t="s">
        <v>55</v>
      </c>
      <c r="E845" s="15" t="s">
        <v>207</v>
      </c>
      <c r="F845" s="15" t="s">
        <v>208</v>
      </c>
      <c r="G845" s="17" t="str">
        <f t="shared" si="13"/>
        <v>Medium</v>
      </c>
      <c r="H845" s="3">
        <v>21541</v>
      </c>
      <c r="I845" s="4">
        <v>29.6</v>
      </c>
      <c r="J845" s="5">
        <v>237007.24376769882</v>
      </c>
      <c r="K845" s="6">
        <v>1.561165646599319E-3</v>
      </c>
      <c r="L845" s="5">
        <v>669.96606471380164</v>
      </c>
      <c r="M845" s="5">
        <v>183.83547653312289</v>
      </c>
      <c r="N845" s="11">
        <v>884.7552109929901</v>
      </c>
      <c r="O845" s="13">
        <v>2024</v>
      </c>
    </row>
    <row r="846" spans="1:15" ht="14.5" customHeight="1" x14ac:dyDescent="0.35">
      <c r="A846" s="20" t="s">
        <v>1697</v>
      </c>
      <c r="B846" s="15" t="s">
        <v>1698</v>
      </c>
      <c r="C846" s="15" t="s">
        <v>3108</v>
      </c>
      <c r="D846" s="16" t="s">
        <v>48</v>
      </c>
      <c r="E846" s="15" t="s">
        <v>186</v>
      </c>
      <c r="F846" s="15" t="s">
        <v>170</v>
      </c>
      <c r="G846" s="17" t="str">
        <f t="shared" si="13"/>
        <v>Small</v>
      </c>
      <c r="H846" s="3">
        <v>2597</v>
      </c>
      <c r="I846" s="4">
        <v>37.1</v>
      </c>
      <c r="J846" s="5">
        <v>113319.27416249519</v>
      </c>
      <c r="K846" s="6">
        <v>2.3881702736539049E-3</v>
      </c>
      <c r="L846" s="5">
        <v>711.32884097035037</v>
      </c>
      <c r="M846" s="5">
        <v>0</v>
      </c>
      <c r="N846" s="11">
        <v>1267.842125529457</v>
      </c>
      <c r="O846" s="13">
        <v>2024</v>
      </c>
    </row>
    <row r="847" spans="1:15" ht="14.5" customHeight="1" x14ac:dyDescent="0.35">
      <c r="A847" s="20" t="s">
        <v>1699</v>
      </c>
      <c r="B847" s="15" t="s">
        <v>1700</v>
      </c>
      <c r="C847" s="15" t="s">
        <v>3108</v>
      </c>
      <c r="D847" s="16" t="s">
        <v>15</v>
      </c>
      <c r="E847" s="15" t="s">
        <v>178</v>
      </c>
      <c r="F847" s="15" t="s">
        <v>170</v>
      </c>
      <c r="G847" s="17" t="str">
        <f t="shared" si="13"/>
        <v>Small</v>
      </c>
      <c r="H847" s="3">
        <v>1641</v>
      </c>
      <c r="I847" s="4">
        <v>39</v>
      </c>
      <c r="J847" s="5">
        <v>365559.12370505789</v>
      </c>
      <c r="K847" s="6">
        <v>1.324122592123129E-3</v>
      </c>
      <c r="L847" s="5">
        <v>1535.0560633759903</v>
      </c>
      <c r="M847" s="5">
        <v>1307.1297989031079</v>
      </c>
      <c r="N847" s="11">
        <v>1646.2321755027422</v>
      </c>
      <c r="O847" s="13">
        <v>2024</v>
      </c>
    </row>
    <row r="848" spans="1:15" ht="14.5" customHeight="1" x14ac:dyDescent="0.35">
      <c r="A848" s="20" t="s">
        <v>1701</v>
      </c>
      <c r="B848" s="15" t="s">
        <v>1702</v>
      </c>
      <c r="C848" s="15" t="s">
        <v>3108</v>
      </c>
      <c r="D848" s="16" t="s">
        <v>65</v>
      </c>
      <c r="E848" s="15" t="s">
        <v>186</v>
      </c>
      <c r="F848" s="15" t="s">
        <v>170</v>
      </c>
      <c r="G848" s="17" t="str">
        <f t="shared" si="13"/>
        <v>Small</v>
      </c>
      <c r="H848" s="3">
        <v>250</v>
      </c>
      <c r="I848" s="4">
        <v>36.799999999999997</v>
      </c>
      <c r="J848" s="5">
        <v>275830.11599999998</v>
      </c>
      <c r="K848" s="6">
        <v>2.2887566055332406E-3</v>
      </c>
      <c r="L848" s="5">
        <v>1257.00972</v>
      </c>
      <c r="M848" s="5">
        <v>0</v>
      </c>
      <c r="N848" s="11">
        <v>2723.7611200000001</v>
      </c>
      <c r="O848" s="13">
        <v>2024</v>
      </c>
    </row>
    <row r="849" spans="1:15" ht="14.5" customHeight="1" x14ac:dyDescent="0.35">
      <c r="A849" s="20" t="s">
        <v>1703</v>
      </c>
      <c r="B849" s="15" t="s">
        <v>1704</v>
      </c>
      <c r="C849" s="15" t="s">
        <v>3108</v>
      </c>
      <c r="D849" s="16" t="s">
        <v>272</v>
      </c>
      <c r="E849" s="15" t="s">
        <v>273</v>
      </c>
      <c r="F849" s="15" t="s">
        <v>208</v>
      </c>
      <c r="G849" s="17" t="str">
        <f t="shared" si="13"/>
        <v>Medium</v>
      </c>
      <c r="H849" s="3">
        <v>69036</v>
      </c>
      <c r="I849" s="4">
        <v>139.19999999999999</v>
      </c>
      <c r="J849" s="5">
        <v>1598311.3813807289</v>
      </c>
      <c r="K849" s="6">
        <v>8.0712016571698585E-4</v>
      </c>
      <c r="L849" s="5">
        <v>2596.2685845066344</v>
      </c>
      <c r="M849" s="5">
        <v>1594.195448751376</v>
      </c>
      <c r="N849" s="11">
        <v>3524.8026681731271</v>
      </c>
      <c r="O849" s="13">
        <v>2024</v>
      </c>
    </row>
    <row r="850" spans="1:15" ht="14.5" customHeight="1" x14ac:dyDescent="0.35">
      <c r="A850" s="20" t="s">
        <v>1705</v>
      </c>
      <c r="B850" s="15" t="s">
        <v>1706</v>
      </c>
      <c r="C850" s="15" t="s">
        <v>3108</v>
      </c>
      <c r="D850" s="16" t="s">
        <v>438</v>
      </c>
      <c r="E850" s="15" t="s">
        <v>207</v>
      </c>
      <c r="F850" s="15" t="s">
        <v>208</v>
      </c>
      <c r="G850" s="17" t="str">
        <f t="shared" si="13"/>
        <v>Medium</v>
      </c>
      <c r="H850" s="3">
        <v>18058</v>
      </c>
      <c r="I850" s="4">
        <v>31.7</v>
      </c>
      <c r="J850" s="5">
        <v>205893.00188282202</v>
      </c>
      <c r="K850" s="6">
        <v>2.0661576914620923E-3</v>
      </c>
      <c r="L850" s="5">
        <v>446.3443902979289</v>
      </c>
      <c r="M850" s="5">
        <v>462.6758223502049</v>
      </c>
      <c r="N850" s="11">
        <v>1081.4487761656883</v>
      </c>
      <c r="O850" s="13">
        <v>2024</v>
      </c>
    </row>
    <row r="851" spans="1:15" ht="14.5" customHeight="1" x14ac:dyDescent="0.35">
      <c r="A851" s="20" t="s">
        <v>1707</v>
      </c>
      <c r="B851" s="15" t="s">
        <v>1708</v>
      </c>
      <c r="C851" s="15" t="s">
        <v>3108</v>
      </c>
      <c r="D851" s="16" t="s">
        <v>272</v>
      </c>
      <c r="E851" s="15" t="s">
        <v>273</v>
      </c>
      <c r="F851" s="15" t="s">
        <v>208</v>
      </c>
      <c r="G851" s="17" t="str">
        <f t="shared" si="13"/>
        <v>Medium</v>
      </c>
      <c r="H851" s="3">
        <v>23732</v>
      </c>
      <c r="I851" s="4">
        <v>53.8</v>
      </c>
      <c r="J851" s="5">
        <v>830508.43333895167</v>
      </c>
      <c r="K851" s="6">
        <v>2.2875768763820905E-3</v>
      </c>
      <c r="L851" s="5">
        <v>2609.4436381257374</v>
      </c>
      <c r="M851" s="5">
        <v>1773.5192988370134</v>
      </c>
      <c r="N851" s="11">
        <v>3568.2700682622622</v>
      </c>
      <c r="O851" s="13">
        <v>2024</v>
      </c>
    </row>
    <row r="852" spans="1:15" ht="14.5" customHeight="1" x14ac:dyDescent="0.35">
      <c r="A852" s="20" t="s">
        <v>1709</v>
      </c>
      <c r="B852" s="15" t="s">
        <v>1710</v>
      </c>
      <c r="C852" s="15" t="s">
        <v>3108</v>
      </c>
      <c r="D852" s="16" t="s">
        <v>24</v>
      </c>
      <c r="E852" s="15" t="s">
        <v>173</v>
      </c>
      <c r="F852" s="15" t="s">
        <v>170</v>
      </c>
      <c r="G852" s="17" t="str">
        <f t="shared" si="13"/>
        <v>Small</v>
      </c>
      <c r="H852" s="3">
        <v>9691</v>
      </c>
      <c r="I852" s="4">
        <v>46.4</v>
      </c>
      <c r="J852" s="5">
        <v>57759.470436487463</v>
      </c>
      <c r="K852" s="6">
        <v>2.5779502664907408E-3</v>
      </c>
      <c r="L852" s="5">
        <v>381.5009627489423</v>
      </c>
      <c r="M852" s="5">
        <v>63.770508719430403</v>
      </c>
      <c r="N852" s="11">
        <v>484.99796924981945</v>
      </c>
      <c r="O852" s="13">
        <v>2024</v>
      </c>
    </row>
    <row r="853" spans="1:15" ht="14.5" customHeight="1" x14ac:dyDescent="0.35">
      <c r="A853" s="20" t="s">
        <v>1711</v>
      </c>
      <c r="B853" s="15" t="s">
        <v>1712</v>
      </c>
      <c r="C853" s="15" t="s">
        <v>3108</v>
      </c>
      <c r="D853" s="16" t="s">
        <v>89</v>
      </c>
      <c r="E853" s="15" t="s">
        <v>183</v>
      </c>
      <c r="F853" s="15" t="s">
        <v>170</v>
      </c>
      <c r="G853" s="17" t="str">
        <f t="shared" si="13"/>
        <v>Small</v>
      </c>
      <c r="H853" s="3">
        <v>1588</v>
      </c>
      <c r="I853" s="4">
        <v>32.700000000000003</v>
      </c>
      <c r="J853" s="5">
        <v>411923.16498740553</v>
      </c>
      <c r="K853" s="6">
        <v>2.2306979322734657E-3</v>
      </c>
      <c r="L853" s="5">
        <v>932.19639798488674</v>
      </c>
      <c r="M853" s="5">
        <v>3104.3545340050377</v>
      </c>
      <c r="N853" s="11">
        <v>1385.9091750629723</v>
      </c>
      <c r="O853" s="13">
        <v>2024</v>
      </c>
    </row>
    <row r="854" spans="1:15" ht="14.5" customHeight="1" x14ac:dyDescent="0.35">
      <c r="A854" s="20" t="s">
        <v>1713</v>
      </c>
      <c r="B854" s="15" t="s">
        <v>1714</v>
      </c>
      <c r="C854" s="15" t="s">
        <v>3108</v>
      </c>
      <c r="D854" s="16" t="s">
        <v>269</v>
      </c>
      <c r="E854" s="15" t="s">
        <v>178</v>
      </c>
      <c r="F854" s="15" t="s">
        <v>170</v>
      </c>
      <c r="G854" s="17" t="str">
        <f t="shared" si="13"/>
        <v>Small</v>
      </c>
      <c r="H854" s="3">
        <v>1583</v>
      </c>
      <c r="I854" s="4">
        <v>27.8</v>
      </c>
      <c r="J854" s="5">
        <v>76785.639292482621</v>
      </c>
      <c r="K854" s="6">
        <v>5.6893830999454748E-3</v>
      </c>
      <c r="L854" s="5">
        <v>468.61758054327225</v>
      </c>
      <c r="M854" s="5">
        <v>62.479583070120022</v>
      </c>
      <c r="N854" s="11">
        <v>1114.6113392293114</v>
      </c>
      <c r="O854" s="13">
        <v>2024</v>
      </c>
    </row>
    <row r="855" spans="1:15" ht="14.5" customHeight="1" x14ac:dyDescent="0.35">
      <c r="A855" s="20" t="s">
        <v>1715</v>
      </c>
      <c r="B855" s="15" t="s">
        <v>1716</v>
      </c>
      <c r="C855" s="15" t="s">
        <v>3108</v>
      </c>
      <c r="D855" s="16" t="s">
        <v>292</v>
      </c>
      <c r="E855" s="15" t="s">
        <v>173</v>
      </c>
      <c r="F855" s="15" t="s">
        <v>170</v>
      </c>
      <c r="G855" s="17" t="str">
        <f t="shared" si="13"/>
        <v>Small</v>
      </c>
      <c r="H855" s="3">
        <v>2968</v>
      </c>
      <c r="I855" s="4">
        <v>49.6</v>
      </c>
      <c r="J855" s="5">
        <v>76431.558962264156</v>
      </c>
      <c r="K855" s="6">
        <v>5.1129768261086346E-3</v>
      </c>
      <c r="L855" s="5">
        <v>534.19002695417794</v>
      </c>
      <c r="M855" s="5">
        <v>431.26684636118597</v>
      </c>
      <c r="N855" s="11">
        <v>1024.0811994609164</v>
      </c>
      <c r="O855" s="13">
        <v>2024</v>
      </c>
    </row>
    <row r="856" spans="1:15" ht="14.5" customHeight="1" x14ac:dyDescent="0.35">
      <c r="A856" s="20" t="s">
        <v>1717</v>
      </c>
      <c r="B856" s="15" t="s">
        <v>1718</v>
      </c>
      <c r="C856" s="15" t="s">
        <v>3108</v>
      </c>
      <c r="D856" s="16" t="s">
        <v>69</v>
      </c>
      <c r="E856" s="15" t="s">
        <v>173</v>
      </c>
      <c r="F856" s="15" t="s">
        <v>170</v>
      </c>
      <c r="G856" s="17" t="str">
        <f t="shared" si="13"/>
        <v>Small</v>
      </c>
      <c r="H856" s="3">
        <v>1346</v>
      </c>
      <c r="I856" s="4">
        <v>42.9</v>
      </c>
      <c r="J856" s="5">
        <v>186201.43759286776</v>
      </c>
      <c r="K856" s="6">
        <v>2.1229193319390574E-3</v>
      </c>
      <c r="L856" s="5">
        <v>621.3640861812778</v>
      </c>
      <c r="M856" s="5">
        <v>0</v>
      </c>
      <c r="N856" s="11">
        <v>1207.8617087667162</v>
      </c>
      <c r="O856" s="13">
        <v>2024</v>
      </c>
    </row>
    <row r="857" spans="1:15" ht="14.5" customHeight="1" x14ac:dyDescent="0.35">
      <c r="A857" s="20" t="s">
        <v>1719</v>
      </c>
      <c r="B857" s="15" t="s">
        <v>1720</v>
      </c>
      <c r="C857" s="15" t="s">
        <v>3108</v>
      </c>
      <c r="D857" s="16" t="s">
        <v>5</v>
      </c>
      <c r="E857" s="15" t="s">
        <v>183</v>
      </c>
      <c r="F857" s="15" t="s">
        <v>170</v>
      </c>
      <c r="G857" s="17" t="str">
        <f t="shared" si="13"/>
        <v>Small</v>
      </c>
      <c r="H857" s="3">
        <v>2227</v>
      </c>
      <c r="I857" s="4">
        <v>21.4</v>
      </c>
      <c r="J857" s="5">
        <v>132913.33857207006</v>
      </c>
      <c r="K857" s="6">
        <v>2.9307623205095584E-4</v>
      </c>
      <c r="L857" s="5">
        <v>571.74696452626847</v>
      </c>
      <c r="M857" s="5">
        <v>2079.4050291872472</v>
      </c>
      <c r="N857" s="11">
        <v>1392.9199101930849</v>
      </c>
      <c r="O857" s="13">
        <v>2024</v>
      </c>
    </row>
    <row r="858" spans="1:15" ht="14.5" customHeight="1" x14ac:dyDescent="0.35">
      <c r="A858" s="20" t="s">
        <v>1721</v>
      </c>
      <c r="B858" s="15" t="s">
        <v>1722</v>
      </c>
      <c r="C858" s="15" t="s">
        <v>3108</v>
      </c>
      <c r="D858" s="16" t="s">
        <v>269</v>
      </c>
      <c r="E858" s="15" t="s">
        <v>178</v>
      </c>
      <c r="F858" s="15" t="s">
        <v>170</v>
      </c>
      <c r="G858" s="17" t="str">
        <f t="shared" si="13"/>
        <v>Small</v>
      </c>
      <c r="H858" s="3">
        <v>2286</v>
      </c>
      <c r="I858" s="4">
        <v>53.1</v>
      </c>
      <c r="J858" s="5">
        <v>79095.550743657048</v>
      </c>
      <c r="K858" s="6">
        <v>8.512113954290166E-3</v>
      </c>
      <c r="L858" s="5">
        <v>691.19816272965875</v>
      </c>
      <c r="M858" s="5">
        <v>1001.3626421697288</v>
      </c>
      <c r="N858" s="11">
        <v>1008.0481189851268</v>
      </c>
      <c r="O858" s="13">
        <v>2024</v>
      </c>
    </row>
    <row r="859" spans="1:15" ht="14.5" customHeight="1" x14ac:dyDescent="0.35">
      <c r="A859" s="20" t="s">
        <v>1723</v>
      </c>
      <c r="B859" s="15" t="s">
        <v>1724</v>
      </c>
      <c r="C859" s="15" t="s">
        <v>3108</v>
      </c>
      <c r="D859" s="16" t="s">
        <v>496</v>
      </c>
      <c r="E859" s="15" t="s">
        <v>169</v>
      </c>
      <c r="F859" s="15" t="s">
        <v>170</v>
      </c>
      <c r="G859" s="17" t="str">
        <f t="shared" si="13"/>
        <v>Small</v>
      </c>
      <c r="H859" s="3">
        <v>1446</v>
      </c>
      <c r="I859" s="4">
        <v>56.5</v>
      </c>
      <c r="J859" s="5">
        <v>163918.4937759336</v>
      </c>
      <c r="K859" s="6">
        <v>4.2625407960274692E-3</v>
      </c>
      <c r="L859" s="5">
        <v>761.43195020746896</v>
      </c>
      <c r="M859" s="5">
        <v>1650.6639004149379</v>
      </c>
      <c r="N859" s="11">
        <v>1202.8348962655602</v>
      </c>
      <c r="O859" s="13">
        <v>2024</v>
      </c>
    </row>
    <row r="860" spans="1:15" ht="14.5" customHeight="1" x14ac:dyDescent="0.35">
      <c r="A860" s="20" t="s">
        <v>1725</v>
      </c>
      <c r="B860" s="15" t="s">
        <v>1726</v>
      </c>
      <c r="C860" s="15" t="s">
        <v>3108</v>
      </c>
      <c r="D860" s="16" t="s">
        <v>3</v>
      </c>
      <c r="E860" s="15" t="s">
        <v>214</v>
      </c>
      <c r="F860" s="15" t="s">
        <v>170</v>
      </c>
      <c r="G860" s="17" t="str">
        <f t="shared" si="13"/>
        <v>Small</v>
      </c>
      <c r="H860" s="3">
        <v>2598</v>
      </c>
      <c r="I860" s="4">
        <v>16.8</v>
      </c>
      <c r="J860" s="5">
        <v>46234.86913010008</v>
      </c>
      <c r="K860" s="6">
        <v>3.0870265361141384E-3</v>
      </c>
      <c r="L860" s="5">
        <v>236.85060816012319</v>
      </c>
      <c r="M860" s="5">
        <v>0</v>
      </c>
      <c r="N860" s="11">
        <v>277.43011547344111</v>
      </c>
      <c r="O860" s="13">
        <v>2024</v>
      </c>
    </row>
    <row r="861" spans="1:15" ht="14.5" customHeight="1" x14ac:dyDescent="0.35">
      <c r="A861" s="20" t="s">
        <v>1727</v>
      </c>
      <c r="B861" s="15" t="s">
        <v>1728</v>
      </c>
      <c r="C861" s="15" t="s">
        <v>3108</v>
      </c>
      <c r="D861" s="16" t="s">
        <v>7</v>
      </c>
      <c r="E861" s="15" t="s">
        <v>178</v>
      </c>
      <c r="F861" s="15" t="s">
        <v>170</v>
      </c>
      <c r="G861" s="17" t="str">
        <f t="shared" si="13"/>
        <v>Small</v>
      </c>
      <c r="H861" s="3">
        <v>2424</v>
      </c>
      <c r="I861" s="4">
        <v>31.1</v>
      </c>
      <c r="J861" s="5">
        <v>85407.533828382831</v>
      </c>
      <c r="K861" s="6">
        <v>4.5358339255805102E-3</v>
      </c>
      <c r="L861" s="5">
        <v>661.4278052805281</v>
      </c>
      <c r="M861" s="5">
        <v>1798.6827557755776</v>
      </c>
      <c r="N861" s="11">
        <v>1628.7698019801981</v>
      </c>
      <c r="O861" s="13">
        <v>2024</v>
      </c>
    </row>
    <row r="862" spans="1:15" ht="14.5" customHeight="1" x14ac:dyDescent="0.35">
      <c r="A862" s="20" t="s">
        <v>1729</v>
      </c>
      <c r="B862" s="15" t="s">
        <v>1730</v>
      </c>
      <c r="C862" s="15" t="s">
        <v>3108</v>
      </c>
      <c r="D862" s="16" t="s">
        <v>220</v>
      </c>
      <c r="E862" s="15" t="s">
        <v>173</v>
      </c>
      <c r="F862" s="15" t="s">
        <v>170</v>
      </c>
      <c r="G862" s="17" t="str">
        <f t="shared" si="13"/>
        <v>Small</v>
      </c>
      <c r="H862" s="3">
        <v>2000</v>
      </c>
      <c r="I862" s="4">
        <v>48.5</v>
      </c>
      <c r="J862" s="5">
        <v>140909.06599999999</v>
      </c>
      <c r="K862" s="6" t="s">
        <v>27</v>
      </c>
      <c r="L862" s="5">
        <v>0</v>
      </c>
      <c r="M862" s="5">
        <v>0</v>
      </c>
      <c r="N862" s="11">
        <v>0</v>
      </c>
      <c r="O862" s="13">
        <v>2024</v>
      </c>
    </row>
    <row r="863" spans="1:15" ht="14.5" customHeight="1" x14ac:dyDescent="0.35">
      <c r="A863" s="20" t="s">
        <v>1731</v>
      </c>
      <c r="B863" s="15" t="s">
        <v>1732</v>
      </c>
      <c r="C863" s="15" t="s">
        <v>3108</v>
      </c>
      <c r="D863" s="16" t="s">
        <v>9</v>
      </c>
      <c r="E863" s="15" t="s">
        <v>207</v>
      </c>
      <c r="F863" s="15" t="s">
        <v>208</v>
      </c>
      <c r="G863" s="17" t="str">
        <f t="shared" si="13"/>
        <v>Small</v>
      </c>
      <c r="H863" s="3">
        <v>3682</v>
      </c>
      <c r="I863" s="4">
        <v>49.6</v>
      </c>
      <c r="J863" s="5">
        <v>300327.37995654537</v>
      </c>
      <c r="K863" s="6">
        <v>1.7541033686367025E-3</v>
      </c>
      <c r="L863" s="5">
        <v>653.31015752308531</v>
      </c>
      <c r="M863" s="5">
        <v>0</v>
      </c>
      <c r="N863" s="11">
        <v>1164.0366648560564</v>
      </c>
      <c r="O863" s="13">
        <v>2024</v>
      </c>
    </row>
    <row r="864" spans="1:15" ht="14.5" customHeight="1" x14ac:dyDescent="0.35">
      <c r="A864" s="20" t="s">
        <v>1733</v>
      </c>
      <c r="B864" s="15" t="s">
        <v>1734</v>
      </c>
      <c r="C864" s="15" t="s">
        <v>3108</v>
      </c>
      <c r="D864" s="16" t="s">
        <v>46</v>
      </c>
      <c r="E864" s="15" t="s">
        <v>214</v>
      </c>
      <c r="F864" s="15" t="s">
        <v>170</v>
      </c>
      <c r="G864" s="17" t="str">
        <f t="shared" si="13"/>
        <v>Small</v>
      </c>
      <c r="H864" s="3">
        <v>714</v>
      </c>
      <c r="I864" s="4">
        <v>31.8</v>
      </c>
      <c r="J864" s="5">
        <v>95563.179271708679</v>
      </c>
      <c r="K864" s="6">
        <v>5.9236919391764372E-3</v>
      </c>
      <c r="L864" s="5">
        <v>737.52701680672271</v>
      </c>
      <c r="M864" s="5">
        <v>957.95518207282907</v>
      </c>
      <c r="N864" s="11">
        <v>1296.0655042016806</v>
      </c>
      <c r="O864" s="13">
        <v>2024</v>
      </c>
    </row>
    <row r="865" spans="1:15" ht="14.5" customHeight="1" x14ac:dyDescent="0.35">
      <c r="A865" s="20" t="s">
        <v>1735</v>
      </c>
      <c r="B865" s="15" t="s">
        <v>1736</v>
      </c>
      <c r="C865" s="15" t="s">
        <v>3108</v>
      </c>
      <c r="D865" s="16" t="s">
        <v>289</v>
      </c>
      <c r="E865" s="15" t="s">
        <v>178</v>
      </c>
      <c r="F865" s="15" t="s">
        <v>170</v>
      </c>
      <c r="G865" s="17" t="str">
        <f t="shared" si="13"/>
        <v>Small</v>
      </c>
      <c r="H865" s="3">
        <v>3407</v>
      </c>
      <c r="I865" s="4">
        <v>32.799999999999997</v>
      </c>
      <c r="J865" s="5">
        <v>110449.93484003522</v>
      </c>
      <c r="K865" s="6">
        <v>3.0710656601640901E-3</v>
      </c>
      <c r="L865" s="5">
        <v>363.48327267390675</v>
      </c>
      <c r="M865" s="5">
        <v>0</v>
      </c>
      <c r="N865" s="11">
        <v>635.05027883768707</v>
      </c>
      <c r="O865" s="13">
        <v>2024</v>
      </c>
    </row>
    <row r="866" spans="1:15" ht="14.5" customHeight="1" x14ac:dyDescent="0.35">
      <c r="A866" s="20" t="s">
        <v>1737</v>
      </c>
      <c r="B866" s="15" t="s">
        <v>1738</v>
      </c>
      <c r="C866" s="15" t="s">
        <v>3108</v>
      </c>
      <c r="D866" s="16" t="s">
        <v>77</v>
      </c>
      <c r="E866" s="15" t="s">
        <v>217</v>
      </c>
      <c r="F866" s="15" t="s">
        <v>170</v>
      </c>
      <c r="G866" s="17" t="str">
        <f t="shared" si="13"/>
        <v>Small</v>
      </c>
      <c r="H866" s="3">
        <v>2791</v>
      </c>
      <c r="I866" s="4">
        <v>57.9</v>
      </c>
      <c r="J866" s="5">
        <v>128238.307058402</v>
      </c>
      <c r="K866" s="6">
        <v>3.3729442968302519E-3</v>
      </c>
      <c r="L866" s="5">
        <v>612.75799713364393</v>
      </c>
      <c r="M866" s="5">
        <v>0</v>
      </c>
      <c r="N866" s="11">
        <v>796.1797886062343</v>
      </c>
      <c r="O866" s="13">
        <v>2024</v>
      </c>
    </row>
    <row r="867" spans="1:15" ht="14.5" customHeight="1" x14ac:dyDescent="0.35">
      <c r="A867" s="20" t="s">
        <v>1739</v>
      </c>
      <c r="B867" s="15" t="s">
        <v>1740</v>
      </c>
      <c r="C867" s="15" t="s">
        <v>3108</v>
      </c>
      <c r="D867" s="16" t="s">
        <v>5</v>
      </c>
      <c r="E867" s="15" t="s">
        <v>183</v>
      </c>
      <c r="F867" s="15" t="s">
        <v>170</v>
      </c>
      <c r="G867" s="17" t="str">
        <f t="shared" si="13"/>
        <v>Small</v>
      </c>
      <c r="H867" s="3">
        <v>3221</v>
      </c>
      <c r="I867" s="4">
        <v>45.5</v>
      </c>
      <c r="J867" s="5">
        <v>117206.83886991617</v>
      </c>
      <c r="K867" s="6">
        <v>2.4331271081418069E-3</v>
      </c>
      <c r="L867" s="5">
        <v>510.4988947531823</v>
      </c>
      <c r="M867" s="5">
        <v>1145.2964917727413</v>
      </c>
      <c r="N867" s="11">
        <v>604.25106488668109</v>
      </c>
      <c r="O867" s="13">
        <v>2024</v>
      </c>
    </row>
    <row r="868" spans="1:15" ht="14.5" customHeight="1" x14ac:dyDescent="0.35">
      <c r="A868" s="20" t="s">
        <v>1741</v>
      </c>
      <c r="B868" s="15" t="s">
        <v>18</v>
      </c>
      <c r="C868" s="15" t="s">
        <v>3108</v>
      </c>
      <c r="D868" s="16" t="s">
        <v>81</v>
      </c>
      <c r="E868" s="15" t="s">
        <v>214</v>
      </c>
      <c r="F868" s="15" t="s">
        <v>170</v>
      </c>
      <c r="G868" s="17" t="str">
        <f t="shared" si="13"/>
        <v>Small</v>
      </c>
      <c r="H868" s="3">
        <v>1081</v>
      </c>
      <c r="I868" s="4">
        <v>42.7</v>
      </c>
      <c r="J868" s="5">
        <v>93624.774283071223</v>
      </c>
      <c r="K868" s="6">
        <v>5.069194813026404E-3</v>
      </c>
      <c r="L868" s="5">
        <v>820.50210915818684</v>
      </c>
      <c r="M868" s="5">
        <v>0</v>
      </c>
      <c r="N868" s="11">
        <v>1245.5916558741906</v>
      </c>
      <c r="O868" s="13">
        <v>2024</v>
      </c>
    </row>
    <row r="869" spans="1:15" ht="14.5" customHeight="1" x14ac:dyDescent="0.35">
      <c r="A869" s="20" t="s">
        <v>1742</v>
      </c>
      <c r="B869" s="15" t="s">
        <v>1743</v>
      </c>
      <c r="C869" s="15" t="s">
        <v>3108</v>
      </c>
      <c r="D869" s="16" t="s">
        <v>51</v>
      </c>
      <c r="E869" s="15" t="s">
        <v>217</v>
      </c>
      <c r="F869" s="15" t="s">
        <v>170</v>
      </c>
      <c r="G869" s="17" t="str">
        <f t="shared" si="13"/>
        <v>Small</v>
      </c>
      <c r="H869" s="3">
        <v>9022</v>
      </c>
      <c r="I869" s="4">
        <v>41.2</v>
      </c>
      <c r="J869" s="5">
        <v>149760.35612946132</v>
      </c>
      <c r="K869" s="6">
        <v>2.7053729532142442E-3</v>
      </c>
      <c r="L869" s="5">
        <v>835.2541243626689</v>
      </c>
      <c r="M869" s="5">
        <v>1598.6920860119708</v>
      </c>
      <c r="N869" s="11">
        <v>1164.015626246952</v>
      </c>
      <c r="O869" s="13">
        <v>2024</v>
      </c>
    </row>
    <row r="870" spans="1:15" ht="14.5" customHeight="1" x14ac:dyDescent="0.35">
      <c r="A870" s="20" t="s">
        <v>1744</v>
      </c>
      <c r="B870" s="15" t="s">
        <v>1745</v>
      </c>
      <c r="C870" s="15" t="s">
        <v>3108</v>
      </c>
      <c r="D870" s="16" t="s">
        <v>67</v>
      </c>
      <c r="E870" s="15" t="s">
        <v>183</v>
      </c>
      <c r="F870" s="15" t="s">
        <v>170</v>
      </c>
      <c r="G870" s="17" t="str">
        <f t="shared" si="13"/>
        <v>Small</v>
      </c>
      <c r="H870" s="3">
        <v>1972</v>
      </c>
      <c r="I870" s="4">
        <v>31.7</v>
      </c>
      <c r="J870" s="5">
        <v>65381.268762677486</v>
      </c>
      <c r="K870" s="6">
        <v>4.236245343296135E-3</v>
      </c>
      <c r="L870" s="5">
        <v>431.12321501014196</v>
      </c>
      <c r="M870" s="5">
        <v>0</v>
      </c>
      <c r="N870" s="11">
        <v>606.76013184584178</v>
      </c>
      <c r="O870" s="13">
        <v>2024</v>
      </c>
    </row>
    <row r="871" spans="1:15" ht="14.5" customHeight="1" x14ac:dyDescent="0.35">
      <c r="A871" s="20" t="s">
        <v>1746</v>
      </c>
      <c r="B871" s="15" t="s">
        <v>1747</v>
      </c>
      <c r="C871" s="15" t="s">
        <v>3108</v>
      </c>
      <c r="D871" s="16" t="s">
        <v>63</v>
      </c>
      <c r="E871" s="15" t="s">
        <v>169</v>
      </c>
      <c r="F871" s="15" t="s">
        <v>170</v>
      </c>
      <c r="G871" s="17" t="str">
        <f t="shared" si="13"/>
        <v>Small</v>
      </c>
      <c r="H871" s="3">
        <v>3816</v>
      </c>
      <c r="I871" s="4">
        <v>93.9</v>
      </c>
      <c r="J871" s="5">
        <v>55379.461215932912</v>
      </c>
      <c r="K871" s="6">
        <v>3.4428486398945368E-3</v>
      </c>
      <c r="L871" s="5">
        <v>463.83612159329147</v>
      </c>
      <c r="M871" s="5">
        <v>136.63522012578616</v>
      </c>
      <c r="N871" s="11">
        <v>652.02318396226417</v>
      </c>
      <c r="O871" s="13">
        <v>2024</v>
      </c>
    </row>
    <row r="872" spans="1:15" ht="14.5" customHeight="1" x14ac:dyDescent="0.35">
      <c r="A872" s="20" t="s">
        <v>1748</v>
      </c>
      <c r="B872" s="15" t="s">
        <v>1749</v>
      </c>
      <c r="C872" s="15" t="s">
        <v>3108</v>
      </c>
      <c r="D872" s="16" t="s">
        <v>37</v>
      </c>
      <c r="E872" s="15" t="s">
        <v>217</v>
      </c>
      <c r="F872" s="15" t="s">
        <v>170</v>
      </c>
      <c r="G872" s="17" t="str">
        <f t="shared" si="13"/>
        <v>Small</v>
      </c>
      <c r="H872" s="3">
        <v>2670</v>
      </c>
      <c r="I872" s="4">
        <v>11.7</v>
      </c>
      <c r="J872" s="5">
        <v>105502.32059925093</v>
      </c>
      <c r="K872" s="6">
        <v>2.374934003972208E-3</v>
      </c>
      <c r="L872" s="5">
        <v>555.01722846441953</v>
      </c>
      <c r="M872" s="5">
        <v>924.38764044943821</v>
      </c>
      <c r="N872" s="11">
        <v>1009.2299625468165</v>
      </c>
      <c r="O872" s="13">
        <v>2024</v>
      </c>
    </row>
    <row r="873" spans="1:15" ht="14.5" customHeight="1" x14ac:dyDescent="0.35">
      <c r="A873" s="20" t="s">
        <v>1750</v>
      </c>
      <c r="B873" s="15" t="s">
        <v>1751</v>
      </c>
      <c r="C873" s="15" t="s">
        <v>3108</v>
      </c>
      <c r="D873" s="16" t="s">
        <v>22</v>
      </c>
      <c r="E873" s="15" t="s">
        <v>186</v>
      </c>
      <c r="F873" s="15" t="s">
        <v>170</v>
      </c>
      <c r="G873" s="17" t="str">
        <f t="shared" si="13"/>
        <v>Small</v>
      </c>
      <c r="H873" s="3">
        <v>2044</v>
      </c>
      <c r="I873" s="4">
        <v>47.2</v>
      </c>
      <c r="J873" s="5">
        <v>82796.885029354205</v>
      </c>
      <c r="K873" s="6">
        <v>3.5695420984390557E-3</v>
      </c>
      <c r="L873" s="5">
        <v>492.31898238747556</v>
      </c>
      <c r="M873" s="5">
        <v>0</v>
      </c>
      <c r="N873" s="11">
        <v>663.1262230919765</v>
      </c>
      <c r="O873" s="13">
        <v>2024</v>
      </c>
    </row>
    <row r="874" spans="1:15" ht="14.5" customHeight="1" x14ac:dyDescent="0.35">
      <c r="A874" s="20" t="s">
        <v>1752</v>
      </c>
      <c r="B874" s="15" t="s">
        <v>1753</v>
      </c>
      <c r="C874" s="15" t="s">
        <v>3108</v>
      </c>
      <c r="D874" s="16" t="s">
        <v>32</v>
      </c>
      <c r="E874" s="15" t="s">
        <v>217</v>
      </c>
      <c r="F874" s="15" t="s">
        <v>170</v>
      </c>
      <c r="G874" s="17" t="str">
        <f t="shared" si="13"/>
        <v>Small</v>
      </c>
      <c r="H874" s="3">
        <v>758</v>
      </c>
      <c r="I874" s="4">
        <v>82.2</v>
      </c>
      <c r="J874" s="5">
        <v>226141.48284960422</v>
      </c>
      <c r="K874" s="6">
        <v>5.1087288362754949E-3</v>
      </c>
      <c r="L874" s="5">
        <v>1795.5325065963063</v>
      </c>
      <c r="M874" s="5">
        <v>319.81398416886543</v>
      </c>
      <c r="N874" s="11">
        <v>2880.6473218997362</v>
      </c>
      <c r="O874" s="13">
        <v>2024</v>
      </c>
    </row>
    <row r="875" spans="1:15" ht="14.5" customHeight="1" x14ac:dyDescent="0.35">
      <c r="A875" s="20" t="s">
        <v>1754</v>
      </c>
      <c r="B875" s="15" t="s">
        <v>1755</v>
      </c>
      <c r="C875" s="15" t="s">
        <v>3108</v>
      </c>
      <c r="D875" s="16" t="s">
        <v>513</v>
      </c>
      <c r="E875" s="15" t="s">
        <v>207</v>
      </c>
      <c r="F875" s="15" t="s">
        <v>208</v>
      </c>
      <c r="G875" s="17" t="str">
        <f t="shared" si="13"/>
        <v>Medium</v>
      </c>
      <c r="H875" s="3">
        <v>14813</v>
      </c>
      <c r="I875" s="4">
        <v>27.6</v>
      </c>
      <c r="J875" s="5">
        <v>225393.90798622833</v>
      </c>
      <c r="K875" s="6">
        <v>6.0555581258544744E-3</v>
      </c>
      <c r="L875" s="5">
        <v>1451.7269290488084</v>
      </c>
      <c r="M875" s="5">
        <v>801.70357118747052</v>
      </c>
      <c r="N875" s="11">
        <v>2158.6561803820969</v>
      </c>
      <c r="O875" s="13">
        <v>2024</v>
      </c>
    </row>
    <row r="876" spans="1:15" ht="14.5" customHeight="1" x14ac:dyDescent="0.35">
      <c r="A876" s="20" t="s">
        <v>1756</v>
      </c>
      <c r="B876" s="15" t="s">
        <v>1757</v>
      </c>
      <c r="C876" s="15" t="s">
        <v>3108</v>
      </c>
      <c r="D876" s="16" t="s">
        <v>34</v>
      </c>
      <c r="E876" s="15" t="s">
        <v>214</v>
      </c>
      <c r="F876" s="15" t="s">
        <v>170</v>
      </c>
      <c r="G876" s="17" t="str">
        <f t="shared" si="13"/>
        <v>Small</v>
      </c>
      <c r="H876" s="3">
        <v>538</v>
      </c>
      <c r="I876" s="4">
        <v>74.900000000000006</v>
      </c>
      <c r="J876" s="5">
        <v>279020.3494423792</v>
      </c>
      <c r="K876" s="6">
        <v>3.6124865124892488E-3</v>
      </c>
      <c r="L876" s="5">
        <v>1687.1765799256505</v>
      </c>
      <c r="M876" s="5">
        <v>133.82899628252787</v>
      </c>
      <c r="N876" s="11">
        <v>2720.4702602230482</v>
      </c>
      <c r="O876" s="13">
        <v>2024</v>
      </c>
    </row>
    <row r="877" spans="1:15" ht="14.5" customHeight="1" x14ac:dyDescent="0.35">
      <c r="A877" s="20" t="s">
        <v>1758</v>
      </c>
      <c r="B877" s="15" t="s">
        <v>1759</v>
      </c>
      <c r="C877" s="15" t="s">
        <v>3108</v>
      </c>
      <c r="D877" s="16" t="s">
        <v>37</v>
      </c>
      <c r="E877" s="15" t="s">
        <v>217</v>
      </c>
      <c r="F877" s="15" t="s">
        <v>170</v>
      </c>
      <c r="G877" s="17" t="str">
        <f t="shared" si="13"/>
        <v>Small</v>
      </c>
      <c r="H877" s="3">
        <v>1931</v>
      </c>
      <c r="I877" s="4">
        <v>25</v>
      </c>
      <c r="J877" s="5">
        <v>174628.51890212327</v>
      </c>
      <c r="K877" s="6">
        <v>1.2679219307200216E-3</v>
      </c>
      <c r="L877" s="5">
        <v>528.78922837907817</v>
      </c>
      <c r="M877" s="5">
        <v>63.692387364060075</v>
      </c>
      <c r="N877" s="11">
        <v>591.01812532366648</v>
      </c>
      <c r="O877" s="13">
        <v>2024</v>
      </c>
    </row>
    <row r="878" spans="1:15" ht="14.5" customHeight="1" x14ac:dyDescent="0.35">
      <c r="A878" s="20" t="s">
        <v>1760</v>
      </c>
      <c r="B878" s="15" t="s">
        <v>324</v>
      </c>
      <c r="C878" s="15" t="s">
        <v>3108</v>
      </c>
      <c r="D878" s="16" t="s">
        <v>67</v>
      </c>
      <c r="E878" s="15" t="s">
        <v>183</v>
      </c>
      <c r="F878" s="15" t="s">
        <v>170</v>
      </c>
      <c r="G878" s="17" t="str">
        <f t="shared" si="13"/>
        <v>Medium</v>
      </c>
      <c r="H878" s="3">
        <v>14794</v>
      </c>
      <c r="I878" s="4">
        <v>73.2</v>
      </c>
      <c r="J878" s="5">
        <v>86501.827903204001</v>
      </c>
      <c r="K878" s="6">
        <v>3.5639499638308908E-3</v>
      </c>
      <c r="L878" s="5">
        <v>493.28790861159928</v>
      </c>
      <c r="M878" s="5">
        <v>472.70515411653372</v>
      </c>
      <c r="N878" s="11">
        <v>598.17042111666899</v>
      </c>
      <c r="O878" s="13">
        <v>2024</v>
      </c>
    </row>
    <row r="879" spans="1:15" ht="14.5" customHeight="1" x14ac:dyDescent="0.35">
      <c r="A879" s="20" t="s">
        <v>1761</v>
      </c>
      <c r="B879" s="15" t="s">
        <v>1762</v>
      </c>
      <c r="C879" s="15" t="s">
        <v>3108</v>
      </c>
      <c r="D879" s="16" t="s">
        <v>5</v>
      </c>
      <c r="E879" s="15" t="s">
        <v>183</v>
      </c>
      <c r="F879" s="15" t="s">
        <v>170</v>
      </c>
      <c r="G879" s="17" t="str">
        <f t="shared" si="13"/>
        <v>Small</v>
      </c>
      <c r="H879" s="3">
        <v>1108</v>
      </c>
      <c r="I879" s="4">
        <v>25.9</v>
      </c>
      <c r="J879" s="5">
        <v>93940.611010830326</v>
      </c>
      <c r="K879" s="6">
        <v>4.2064559242182709E-3</v>
      </c>
      <c r="L879" s="5">
        <v>693.65707581227446</v>
      </c>
      <c r="M879" s="5">
        <v>92.405523465703979</v>
      </c>
      <c r="N879" s="11">
        <v>818.4701173285199</v>
      </c>
      <c r="O879" s="13">
        <v>2024</v>
      </c>
    </row>
    <row r="880" spans="1:15" ht="14.5" customHeight="1" x14ac:dyDescent="0.35">
      <c r="A880" s="20" t="s">
        <v>1763</v>
      </c>
      <c r="B880" s="15" t="s">
        <v>1764</v>
      </c>
      <c r="C880" s="15" t="s">
        <v>3108</v>
      </c>
      <c r="D880" s="16" t="s">
        <v>338</v>
      </c>
      <c r="E880" s="15" t="s">
        <v>214</v>
      </c>
      <c r="F880" s="15" t="s">
        <v>170</v>
      </c>
      <c r="G880" s="17" t="str">
        <f t="shared" si="13"/>
        <v>Small</v>
      </c>
      <c r="H880" s="3">
        <v>1072</v>
      </c>
      <c r="I880" s="4">
        <v>37.1</v>
      </c>
      <c r="J880" s="5">
        <v>144821.39085820896</v>
      </c>
      <c r="K880" s="6">
        <v>4.3164852877094215E-3</v>
      </c>
      <c r="L880" s="5">
        <v>709.38015858208951</v>
      </c>
      <c r="M880" s="5">
        <v>0</v>
      </c>
      <c r="N880" s="11">
        <v>980.15489738805979</v>
      </c>
      <c r="O880" s="13">
        <v>2024</v>
      </c>
    </row>
    <row r="881" spans="1:15" ht="14.5" customHeight="1" x14ac:dyDescent="0.35">
      <c r="A881" s="20" t="s">
        <v>1765</v>
      </c>
      <c r="B881" s="15" t="s">
        <v>1766</v>
      </c>
      <c r="C881" s="15" t="s">
        <v>3108</v>
      </c>
      <c r="D881" s="16" t="s">
        <v>79</v>
      </c>
      <c r="E881" s="15" t="s">
        <v>178</v>
      </c>
      <c r="F881" s="15" t="s">
        <v>170</v>
      </c>
      <c r="G881" s="17" t="str">
        <f t="shared" si="13"/>
        <v>Medium</v>
      </c>
      <c r="H881" s="3">
        <v>13244</v>
      </c>
      <c r="I881" s="4">
        <v>33.700000000000003</v>
      </c>
      <c r="J881" s="5">
        <v>69179.243506493513</v>
      </c>
      <c r="K881" s="6">
        <v>3.2474207021257672E-3</v>
      </c>
      <c r="L881" s="5">
        <v>305.77967381455755</v>
      </c>
      <c r="M881" s="5">
        <v>236.98135004530354</v>
      </c>
      <c r="N881" s="11">
        <v>478.00339776502568</v>
      </c>
      <c r="O881" s="13">
        <v>2024</v>
      </c>
    </row>
    <row r="882" spans="1:15" ht="14.5" customHeight="1" x14ac:dyDescent="0.35">
      <c r="A882" s="20" t="s">
        <v>1767</v>
      </c>
      <c r="B882" s="15" t="s">
        <v>1768</v>
      </c>
      <c r="C882" s="15" t="s">
        <v>3108</v>
      </c>
      <c r="D882" s="16" t="s">
        <v>37</v>
      </c>
      <c r="E882" s="15" t="s">
        <v>217</v>
      </c>
      <c r="F882" s="15" t="s">
        <v>170</v>
      </c>
      <c r="G882" s="17" t="str">
        <f t="shared" si="13"/>
        <v>Small</v>
      </c>
      <c r="H882" s="3">
        <v>1231</v>
      </c>
      <c r="I882" s="4">
        <v>40</v>
      </c>
      <c r="J882" s="5">
        <v>373702.34524776606</v>
      </c>
      <c r="K882" s="6">
        <v>2.2071915439279949E-3</v>
      </c>
      <c r="L882" s="5">
        <v>1124.650690495532</v>
      </c>
      <c r="M882" s="5">
        <v>475.98050365556458</v>
      </c>
      <c r="N882" s="11">
        <v>1719.2664500406174</v>
      </c>
      <c r="O882" s="13">
        <v>2024</v>
      </c>
    </row>
    <row r="883" spans="1:15" ht="14.5" customHeight="1" x14ac:dyDescent="0.35">
      <c r="A883" s="20" t="s">
        <v>1769</v>
      </c>
      <c r="B883" s="15" t="s">
        <v>1770</v>
      </c>
      <c r="C883" s="15" t="s">
        <v>3108</v>
      </c>
      <c r="D883" s="16" t="s">
        <v>20</v>
      </c>
      <c r="E883" s="15" t="s">
        <v>183</v>
      </c>
      <c r="F883" s="15" t="s">
        <v>170</v>
      </c>
      <c r="G883" s="17" t="str">
        <f t="shared" si="13"/>
        <v>Small</v>
      </c>
      <c r="H883" s="3">
        <v>452</v>
      </c>
      <c r="I883" s="4">
        <v>30</v>
      </c>
      <c r="J883" s="5">
        <v>101569.9668141593</v>
      </c>
      <c r="K883" s="6" t="s">
        <v>27</v>
      </c>
      <c r="L883" s="5">
        <v>0</v>
      </c>
      <c r="M883" s="5">
        <v>0</v>
      </c>
      <c r="N883" s="11">
        <v>0</v>
      </c>
      <c r="O883" s="13">
        <v>2024</v>
      </c>
    </row>
    <row r="884" spans="1:15" ht="14.5" customHeight="1" x14ac:dyDescent="0.35">
      <c r="A884" s="20" t="s">
        <v>1771</v>
      </c>
      <c r="B884" s="15" t="s">
        <v>1772</v>
      </c>
      <c r="C884" s="15" t="s">
        <v>3108</v>
      </c>
      <c r="D884" s="16" t="s">
        <v>94</v>
      </c>
      <c r="E884" s="15" t="s">
        <v>169</v>
      </c>
      <c r="F884" s="15" t="s">
        <v>170</v>
      </c>
      <c r="G884" s="17" t="str">
        <f t="shared" si="13"/>
        <v>Small</v>
      </c>
      <c r="H884" s="3">
        <v>2648</v>
      </c>
      <c r="I884" s="4">
        <v>64.900000000000006</v>
      </c>
      <c r="J884" s="5">
        <v>107366.21223564955</v>
      </c>
      <c r="K884" s="6">
        <v>1.6153983600682266E-3</v>
      </c>
      <c r="L884" s="5">
        <v>467.92152945619341</v>
      </c>
      <c r="M884" s="5">
        <v>0</v>
      </c>
      <c r="N884" s="11">
        <v>727.62043051359512</v>
      </c>
      <c r="O884" s="13">
        <v>2024</v>
      </c>
    </row>
    <row r="885" spans="1:15" ht="14.5" customHeight="1" x14ac:dyDescent="0.35">
      <c r="A885" s="20" t="s">
        <v>1773</v>
      </c>
      <c r="B885" s="15" t="s">
        <v>1774</v>
      </c>
      <c r="C885" s="15" t="s">
        <v>3108</v>
      </c>
      <c r="D885" s="16" t="s">
        <v>324</v>
      </c>
      <c r="E885" s="15" t="s">
        <v>207</v>
      </c>
      <c r="F885" s="15" t="s">
        <v>208</v>
      </c>
      <c r="G885" s="17" t="str">
        <f t="shared" si="13"/>
        <v>Medium</v>
      </c>
      <c r="H885" s="3">
        <v>16550</v>
      </c>
      <c r="I885" s="4">
        <v>84.1</v>
      </c>
      <c r="J885" s="5">
        <v>143708.1290634441</v>
      </c>
      <c r="K885" s="6">
        <v>2.1780374839109949E-3</v>
      </c>
      <c r="L885" s="5">
        <v>353.95220543806647</v>
      </c>
      <c r="M885" s="5">
        <v>456.28903323262841</v>
      </c>
      <c r="N885" s="11">
        <v>1317.1242296072508</v>
      </c>
      <c r="O885" s="13">
        <v>2024</v>
      </c>
    </row>
    <row r="886" spans="1:15" ht="14.5" customHeight="1" x14ac:dyDescent="0.35">
      <c r="A886" s="20" t="s">
        <v>1775</v>
      </c>
      <c r="B886" s="15" t="s">
        <v>1776</v>
      </c>
      <c r="C886" s="15" t="s">
        <v>3108</v>
      </c>
      <c r="D886" s="16" t="s">
        <v>5</v>
      </c>
      <c r="E886" s="15" t="s">
        <v>183</v>
      </c>
      <c r="F886" s="15" t="s">
        <v>170</v>
      </c>
      <c r="G886" s="17" t="str">
        <f t="shared" si="13"/>
        <v>Small</v>
      </c>
      <c r="H886" s="3">
        <v>1831</v>
      </c>
      <c r="I886" s="4">
        <v>18.600000000000001</v>
      </c>
      <c r="J886" s="5">
        <v>100206.26324412889</v>
      </c>
      <c r="K886" s="6">
        <v>7.8211153196039104E-4</v>
      </c>
      <c r="L886" s="5">
        <v>464.50921354451117</v>
      </c>
      <c r="M886" s="5">
        <v>506.28072091753143</v>
      </c>
      <c r="N886" s="11">
        <v>766.77073184052426</v>
      </c>
      <c r="O886" s="13">
        <v>2024</v>
      </c>
    </row>
    <row r="887" spans="1:15" ht="14.5" customHeight="1" x14ac:dyDescent="0.35">
      <c r="A887" s="20" t="s">
        <v>1777</v>
      </c>
      <c r="B887" s="15" t="s">
        <v>1778</v>
      </c>
      <c r="C887" s="15" t="s">
        <v>3108</v>
      </c>
      <c r="D887" s="16" t="s">
        <v>32</v>
      </c>
      <c r="E887" s="15" t="s">
        <v>217</v>
      </c>
      <c r="F887" s="15" t="s">
        <v>170</v>
      </c>
      <c r="G887" s="17" t="str">
        <f t="shared" si="13"/>
        <v>Small</v>
      </c>
      <c r="H887" s="3">
        <v>1095</v>
      </c>
      <c r="I887" s="4">
        <v>91.1</v>
      </c>
      <c r="J887" s="5">
        <v>214865.29771689497</v>
      </c>
      <c r="K887" s="6">
        <v>5.3321830377652639E-3</v>
      </c>
      <c r="L887" s="5">
        <v>1731.5868767123288</v>
      </c>
      <c r="M887" s="5">
        <v>0</v>
      </c>
      <c r="N887" s="11">
        <v>2145.3796894977168</v>
      </c>
      <c r="O887" s="13">
        <v>2024</v>
      </c>
    </row>
    <row r="888" spans="1:15" ht="14.5" customHeight="1" x14ac:dyDescent="0.35">
      <c r="A888" s="20" t="s">
        <v>1779</v>
      </c>
      <c r="B888" s="15" t="s">
        <v>1780</v>
      </c>
      <c r="C888" s="15" t="s">
        <v>3108</v>
      </c>
      <c r="D888" s="16" t="s">
        <v>18</v>
      </c>
      <c r="E888" s="15" t="s">
        <v>173</v>
      </c>
      <c r="F888" s="15" t="s">
        <v>170</v>
      </c>
      <c r="G888" s="17" t="str">
        <f t="shared" si="13"/>
        <v>Small</v>
      </c>
      <c r="H888" s="3">
        <v>1253</v>
      </c>
      <c r="I888" s="4">
        <v>36.4</v>
      </c>
      <c r="J888" s="5">
        <v>80943.840383080606</v>
      </c>
      <c r="K888" s="6">
        <v>7.0250379619412745E-3</v>
      </c>
      <c r="L888" s="5">
        <v>616.1759217877094</v>
      </c>
      <c r="M888" s="5">
        <v>56.819920191540305</v>
      </c>
      <c r="N888" s="11">
        <v>990.9324980047885</v>
      </c>
      <c r="O888" s="13">
        <v>2024</v>
      </c>
    </row>
    <row r="889" spans="1:15" ht="14.5" customHeight="1" x14ac:dyDescent="0.35">
      <c r="A889" s="20" t="s">
        <v>1781</v>
      </c>
      <c r="B889" s="15" t="s">
        <v>1782</v>
      </c>
      <c r="C889" s="15" t="s">
        <v>3108</v>
      </c>
      <c r="D889" s="16" t="s">
        <v>496</v>
      </c>
      <c r="E889" s="15" t="s">
        <v>169</v>
      </c>
      <c r="F889" s="15" t="s">
        <v>170</v>
      </c>
      <c r="G889" s="17" t="str">
        <f t="shared" si="13"/>
        <v>Small</v>
      </c>
      <c r="H889" s="3">
        <v>4789</v>
      </c>
      <c r="I889" s="4">
        <v>81.400000000000006</v>
      </c>
      <c r="J889" s="5">
        <v>153553.86051367718</v>
      </c>
      <c r="K889" s="6">
        <v>7.0234889609323134E-3</v>
      </c>
      <c r="L889" s="5">
        <v>1165.0324598037168</v>
      </c>
      <c r="M889" s="5">
        <v>4261.5665065775738</v>
      </c>
      <c r="N889" s="11">
        <v>2274.1744581332218</v>
      </c>
      <c r="O889" s="13">
        <v>2024</v>
      </c>
    </row>
    <row r="890" spans="1:15" ht="14.5" customHeight="1" x14ac:dyDescent="0.35">
      <c r="A890" s="20" t="s">
        <v>1783</v>
      </c>
      <c r="B890" s="15" t="s">
        <v>292</v>
      </c>
      <c r="C890" s="15" t="s">
        <v>3108</v>
      </c>
      <c r="D890" s="16" t="s">
        <v>292</v>
      </c>
      <c r="E890" s="15" t="s">
        <v>173</v>
      </c>
      <c r="F890" s="15" t="s">
        <v>170</v>
      </c>
      <c r="G890" s="17" t="str">
        <f t="shared" si="13"/>
        <v>Small</v>
      </c>
      <c r="H890" s="3">
        <v>4440</v>
      </c>
      <c r="I890" s="4">
        <v>58.6</v>
      </c>
      <c r="J890" s="5">
        <v>80973.273198198192</v>
      </c>
      <c r="K890" s="6">
        <v>2.6442380819721762E-3</v>
      </c>
      <c r="L890" s="5">
        <v>399.46813513513513</v>
      </c>
      <c r="M890" s="5">
        <v>360.36036036036035</v>
      </c>
      <c r="N890" s="11">
        <v>697.45668018018023</v>
      </c>
      <c r="O890" s="13">
        <v>2024</v>
      </c>
    </row>
    <row r="891" spans="1:15" ht="14.5" customHeight="1" x14ac:dyDescent="0.35">
      <c r="A891" s="20" t="s">
        <v>1784</v>
      </c>
      <c r="B891" s="15" t="s">
        <v>39</v>
      </c>
      <c r="C891" s="15" t="s">
        <v>3108</v>
      </c>
      <c r="D891" s="16" t="s">
        <v>220</v>
      </c>
      <c r="E891" s="15" t="s">
        <v>173</v>
      </c>
      <c r="F891" s="15" t="s">
        <v>170</v>
      </c>
      <c r="G891" s="17" t="str">
        <f t="shared" si="13"/>
        <v>Small</v>
      </c>
      <c r="H891" s="3">
        <v>1290</v>
      </c>
      <c r="I891" s="4">
        <v>98.1</v>
      </c>
      <c r="J891" s="5">
        <v>212976.91627906976</v>
      </c>
      <c r="K891" s="6">
        <v>3.9763926521104729E-3</v>
      </c>
      <c r="L891" s="5">
        <v>850.12549612403097</v>
      </c>
      <c r="M891" s="5">
        <v>0</v>
      </c>
      <c r="N891" s="11">
        <v>1279.5062480620156</v>
      </c>
      <c r="O891" s="13">
        <v>2024</v>
      </c>
    </row>
    <row r="892" spans="1:15" ht="14.5" customHeight="1" x14ac:dyDescent="0.35">
      <c r="A892" s="20" t="s">
        <v>1785</v>
      </c>
      <c r="B892" s="15" t="s">
        <v>145</v>
      </c>
      <c r="C892" s="15" t="s">
        <v>3108</v>
      </c>
      <c r="D892" s="16" t="s">
        <v>13</v>
      </c>
      <c r="E892" s="15" t="s">
        <v>186</v>
      </c>
      <c r="F892" s="15" t="s">
        <v>170</v>
      </c>
      <c r="G892" s="17" t="str">
        <f t="shared" si="13"/>
        <v>Medium</v>
      </c>
      <c r="H892" s="3">
        <v>72636</v>
      </c>
      <c r="I892" s="4">
        <v>18.7</v>
      </c>
      <c r="J892" s="5">
        <v>102725.607935459</v>
      </c>
      <c r="K892" s="6">
        <v>6.6955192116299337E-3</v>
      </c>
      <c r="L892" s="5">
        <v>897.05912371275974</v>
      </c>
      <c r="M892" s="5">
        <v>1418.5736996805992</v>
      </c>
      <c r="N892" s="11">
        <v>1939.8288962773281</v>
      </c>
      <c r="O892" s="13">
        <v>2024</v>
      </c>
    </row>
    <row r="893" spans="1:15" ht="14.5" customHeight="1" x14ac:dyDescent="0.35">
      <c r="A893" s="20" t="s">
        <v>1786</v>
      </c>
      <c r="B893" s="15" t="s">
        <v>1787</v>
      </c>
      <c r="C893" s="15" t="s">
        <v>3108</v>
      </c>
      <c r="D893" s="16" t="s">
        <v>289</v>
      </c>
      <c r="E893" s="15" t="s">
        <v>178</v>
      </c>
      <c r="F893" s="15" t="s">
        <v>170</v>
      </c>
      <c r="G893" s="17" t="str">
        <f t="shared" si="13"/>
        <v>Small</v>
      </c>
      <c r="H893" s="3">
        <v>1299</v>
      </c>
      <c r="I893" s="4">
        <v>22.8</v>
      </c>
      <c r="J893" s="5">
        <v>204627.55119322555</v>
      </c>
      <c r="K893" s="6">
        <v>2.6915608883567354E-3</v>
      </c>
      <c r="L893" s="5">
        <v>604.61123941493452</v>
      </c>
      <c r="M893" s="5">
        <v>994.61123941493452</v>
      </c>
      <c r="N893" s="11">
        <v>1595.6258660508083</v>
      </c>
      <c r="O893" s="13">
        <v>2024</v>
      </c>
    </row>
    <row r="894" spans="1:15" ht="14.5" customHeight="1" x14ac:dyDescent="0.35">
      <c r="A894" s="20" t="s">
        <v>1788</v>
      </c>
      <c r="B894" s="15" t="s">
        <v>1789</v>
      </c>
      <c r="C894" s="15" t="s">
        <v>3108</v>
      </c>
      <c r="D894" s="16" t="s">
        <v>81</v>
      </c>
      <c r="E894" s="15" t="s">
        <v>214</v>
      </c>
      <c r="F894" s="15" t="s">
        <v>170</v>
      </c>
      <c r="G894" s="17" t="str">
        <f t="shared" si="13"/>
        <v>Small</v>
      </c>
      <c r="H894" s="3">
        <v>4297</v>
      </c>
      <c r="I894" s="4">
        <v>43.4</v>
      </c>
      <c r="J894" s="5">
        <v>103670.09750989062</v>
      </c>
      <c r="K894" s="6">
        <v>8.7976748192942263E-4</v>
      </c>
      <c r="L894" s="5">
        <v>478.57516872236442</v>
      </c>
      <c r="M894" s="5">
        <v>127.03676983942286</v>
      </c>
      <c r="N894" s="11">
        <v>849.04474051663954</v>
      </c>
      <c r="O894" s="13">
        <v>2024</v>
      </c>
    </row>
    <row r="895" spans="1:15" ht="14.5" customHeight="1" x14ac:dyDescent="0.35">
      <c r="A895" s="20" t="s">
        <v>1790</v>
      </c>
      <c r="B895" s="15" t="s">
        <v>1791</v>
      </c>
      <c r="C895" s="15" t="s">
        <v>3108</v>
      </c>
      <c r="D895" s="16" t="s">
        <v>11</v>
      </c>
      <c r="E895" s="15" t="s">
        <v>173</v>
      </c>
      <c r="F895" s="15" t="s">
        <v>170</v>
      </c>
      <c r="G895" s="17" t="str">
        <f t="shared" si="13"/>
        <v>Small</v>
      </c>
      <c r="H895" s="3">
        <v>2809</v>
      </c>
      <c r="I895" s="4">
        <v>37.9</v>
      </c>
      <c r="J895" s="5">
        <v>62640.429334282664</v>
      </c>
      <c r="K895" s="6">
        <v>2.7631319808048972E-3</v>
      </c>
      <c r="L895" s="5">
        <v>408.61593805624773</v>
      </c>
      <c r="M895" s="5">
        <v>0</v>
      </c>
      <c r="N895" s="11">
        <v>658.28866500534002</v>
      </c>
      <c r="O895" s="13">
        <v>2024</v>
      </c>
    </row>
    <row r="896" spans="1:15" ht="14.5" customHeight="1" x14ac:dyDescent="0.35">
      <c r="A896" s="20" t="s">
        <v>1792</v>
      </c>
      <c r="B896" s="15" t="s">
        <v>1793</v>
      </c>
      <c r="C896" s="15" t="s">
        <v>3108</v>
      </c>
      <c r="D896" s="16" t="s">
        <v>18</v>
      </c>
      <c r="E896" s="15" t="s">
        <v>173</v>
      </c>
      <c r="F896" s="15" t="s">
        <v>170</v>
      </c>
      <c r="G896" s="17" t="str">
        <f t="shared" ref="G896:G959" si="14">IF(H896&lt;=10000,"Small",(IF(H896&lt;=100000,"Medium",IF(H896&gt;100000,"Large"))))</f>
        <v>Small</v>
      </c>
      <c r="H896" s="3">
        <v>1017</v>
      </c>
      <c r="I896" s="4">
        <v>61.2</v>
      </c>
      <c r="J896" s="5">
        <v>107862.8947885939</v>
      </c>
      <c r="K896" s="6">
        <v>5.1532243070074651E-3</v>
      </c>
      <c r="L896" s="5">
        <v>770.09716814159287</v>
      </c>
      <c r="M896" s="5">
        <v>244.99508357915437</v>
      </c>
      <c r="N896" s="11">
        <v>1724.9634611602753</v>
      </c>
      <c r="O896" s="13">
        <v>2024</v>
      </c>
    </row>
    <row r="897" spans="1:15" ht="14.5" customHeight="1" x14ac:dyDescent="0.35">
      <c r="A897" s="20" t="s">
        <v>1794</v>
      </c>
      <c r="B897" s="15" t="s">
        <v>1795</v>
      </c>
      <c r="C897" s="15" t="s">
        <v>3108</v>
      </c>
      <c r="D897" s="16" t="s">
        <v>20</v>
      </c>
      <c r="E897" s="15" t="s">
        <v>183</v>
      </c>
      <c r="F897" s="15" t="s">
        <v>170</v>
      </c>
      <c r="G897" s="17" t="str">
        <f t="shared" si="14"/>
        <v>Small</v>
      </c>
      <c r="H897" s="3">
        <v>997</v>
      </c>
      <c r="I897" s="4">
        <v>44.7</v>
      </c>
      <c r="J897" s="5">
        <v>111846.93179538616</v>
      </c>
      <c r="K897" s="6">
        <v>3.7270631840652046E-3</v>
      </c>
      <c r="L897" s="5">
        <v>771.48873620862582</v>
      </c>
      <c r="M897" s="5">
        <v>0</v>
      </c>
      <c r="N897" s="11">
        <v>1023.3971514543631</v>
      </c>
      <c r="O897" s="13">
        <v>2024</v>
      </c>
    </row>
    <row r="898" spans="1:15" ht="14.5" customHeight="1" x14ac:dyDescent="0.35">
      <c r="A898" s="20" t="s">
        <v>1796</v>
      </c>
      <c r="B898" s="15" t="s">
        <v>1797</v>
      </c>
      <c r="C898" s="15" t="s">
        <v>3108</v>
      </c>
      <c r="D898" s="16" t="s">
        <v>89</v>
      </c>
      <c r="E898" s="15" t="s">
        <v>183</v>
      </c>
      <c r="F898" s="15" t="s">
        <v>170</v>
      </c>
      <c r="G898" s="17" t="str">
        <f t="shared" si="14"/>
        <v>Small</v>
      </c>
      <c r="H898" s="3">
        <v>2676</v>
      </c>
      <c r="I898" s="4">
        <v>25.8</v>
      </c>
      <c r="J898" s="5">
        <v>117680.27989536621</v>
      </c>
      <c r="K898" s="6">
        <v>7.3314930037264425E-3</v>
      </c>
      <c r="L898" s="5">
        <v>877.28734678624812</v>
      </c>
      <c r="M898" s="5">
        <v>24.28998505231689</v>
      </c>
      <c r="N898" s="11">
        <v>1612.6974701046336</v>
      </c>
      <c r="O898" s="13">
        <v>2024</v>
      </c>
    </row>
    <row r="899" spans="1:15" ht="14.5" customHeight="1" x14ac:dyDescent="0.35">
      <c r="A899" s="20" t="s">
        <v>1798</v>
      </c>
      <c r="B899" s="15" t="s">
        <v>1799</v>
      </c>
      <c r="C899" s="15" t="s">
        <v>3108</v>
      </c>
      <c r="D899" s="16" t="s">
        <v>282</v>
      </c>
      <c r="E899" s="15" t="s">
        <v>169</v>
      </c>
      <c r="F899" s="15" t="s">
        <v>170</v>
      </c>
      <c r="G899" s="17" t="str">
        <f t="shared" si="14"/>
        <v>Small</v>
      </c>
      <c r="H899" s="3">
        <v>5147</v>
      </c>
      <c r="I899" s="4">
        <v>117.4</v>
      </c>
      <c r="J899" s="5">
        <v>132872.82125510005</v>
      </c>
      <c r="K899" s="6">
        <v>3.7858517143175945E-3</v>
      </c>
      <c r="L899" s="5">
        <v>512.45337866718478</v>
      </c>
      <c r="M899" s="5">
        <v>336.90132504371479</v>
      </c>
      <c r="N899" s="11">
        <v>705.05746648533125</v>
      </c>
      <c r="O899" s="13">
        <v>2024</v>
      </c>
    </row>
    <row r="900" spans="1:15" ht="14.5" customHeight="1" x14ac:dyDescent="0.35">
      <c r="A900" s="20" t="s">
        <v>1800</v>
      </c>
      <c r="B900" s="15" t="s">
        <v>1801</v>
      </c>
      <c r="C900" s="15" t="s">
        <v>3108</v>
      </c>
      <c r="D900" s="16" t="s">
        <v>597</v>
      </c>
      <c r="E900" s="15" t="s">
        <v>169</v>
      </c>
      <c r="F900" s="15" t="s">
        <v>170</v>
      </c>
      <c r="G900" s="17" t="str">
        <f t="shared" si="14"/>
        <v>Small</v>
      </c>
      <c r="H900" s="3">
        <v>768</v>
      </c>
      <c r="I900" s="4">
        <v>31.2</v>
      </c>
      <c r="J900" s="5">
        <v>120349.48177083333</v>
      </c>
      <c r="K900" s="6">
        <v>7.1683593534377027E-3</v>
      </c>
      <c r="L900" s="5">
        <v>870.794921875</v>
      </c>
      <c r="M900" s="5">
        <v>412.67196614583332</v>
      </c>
      <c r="N900" s="11">
        <v>1445.5073828124998</v>
      </c>
      <c r="O900" s="13">
        <v>2024</v>
      </c>
    </row>
    <row r="901" spans="1:15" ht="14.5" customHeight="1" x14ac:dyDescent="0.35">
      <c r="A901" s="20" t="s">
        <v>1802</v>
      </c>
      <c r="B901" s="15" t="s">
        <v>1803</v>
      </c>
      <c r="C901" s="15" t="s">
        <v>3108</v>
      </c>
      <c r="D901" s="16" t="s">
        <v>18</v>
      </c>
      <c r="E901" s="15" t="s">
        <v>173</v>
      </c>
      <c r="F901" s="15" t="s">
        <v>170</v>
      </c>
      <c r="G901" s="17" t="str">
        <f t="shared" si="14"/>
        <v>Small</v>
      </c>
      <c r="H901" s="3">
        <v>1390</v>
      </c>
      <c r="I901" s="4">
        <v>37.6</v>
      </c>
      <c r="J901" s="5">
        <v>98709.507194244608</v>
      </c>
      <c r="K901" s="6">
        <v>3.8819305670665131E-3</v>
      </c>
      <c r="L901" s="5">
        <v>386.02946762589926</v>
      </c>
      <c r="M901" s="5">
        <v>0</v>
      </c>
      <c r="N901" s="11">
        <v>886.54684892086334</v>
      </c>
      <c r="O901" s="13">
        <v>2024</v>
      </c>
    </row>
    <row r="902" spans="1:15" ht="14.5" customHeight="1" x14ac:dyDescent="0.35">
      <c r="A902" s="20" t="s">
        <v>1804</v>
      </c>
      <c r="B902" s="15" t="s">
        <v>1805</v>
      </c>
      <c r="C902" s="15" t="s">
        <v>3108</v>
      </c>
      <c r="D902" s="16" t="s">
        <v>324</v>
      </c>
      <c r="E902" s="15" t="s">
        <v>207</v>
      </c>
      <c r="F902" s="15" t="s">
        <v>208</v>
      </c>
      <c r="G902" s="17" t="str">
        <f t="shared" si="14"/>
        <v>Small</v>
      </c>
      <c r="H902" s="3">
        <v>1405</v>
      </c>
      <c r="I902" s="4">
        <v>47.2</v>
      </c>
      <c r="J902" s="5">
        <v>271768.95302491105</v>
      </c>
      <c r="K902" s="6" t="s">
        <v>27</v>
      </c>
      <c r="L902" s="5">
        <v>0</v>
      </c>
      <c r="M902" s="5">
        <v>0</v>
      </c>
      <c r="N902" s="11">
        <v>0</v>
      </c>
      <c r="O902" s="13">
        <v>2024</v>
      </c>
    </row>
    <row r="903" spans="1:15" ht="14.5" customHeight="1" x14ac:dyDescent="0.35">
      <c r="A903" s="20" t="s">
        <v>1806</v>
      </c>
      <c r="B903" s="15" t="s">
        <v>1807</v>
      </c>
      <c r="C903" s="15" t="s">
        <v>3108</v>
      </c>
      <c r="D903" s="16" t="s">
        <v>53</v>
      </c>
      <c r="E903" s="15" t="s">
        <v>207</v>
      </c>
      <c r="F903" s="15" t="s">
        <v>208</v>
      </c>
      <c r="G903" s="17" t="str">
        <f t="shared" si="14"/>
        <v>Small</v>
      </c>
      <c r="H903" s="3">
        <v>3811</v>
      </c>
      <c r="I903" s="4">
        <v>47.1</v>
      </c>
      <c r="J903" s="5">
        <v>415182.6785620572</v>
      </c>
      <c r="K903" s="6">
        <v>5.3534391567215765E-3</v>
      </c>
      <c r="L903" s="5">
        <v>2423.0280766203095</v>
      </c>
      <c r="M903" s="5">
        <v>1054.3597480976123</v>
      </c>
      <c r="N903" s="11">
        <v>3480.0923642088692</v>
      </c>
      <c r="O903" s="13">
        <v>2024</v>
      </c>
    </row>
    <row r="904" spans="1:15" ht="14.5" customHeight="1" x14ac:dyDescent="0.35">
      <c r="A904" s="20" t="s">
        <v>1808</v>
      </c>
      <c r="B904" s="15" t="s">
        <v>1809</v>
      </c>
      <c r="C904" s="15" t="s">
        <v>3108</v>
      </c>
      <c r="D904" s="16" t="s">
        <v>588</v>
      </c>
      <c r="E904" s="15" t="s">
        <v>178</v>
      </c>
      <c r="F904" s="15" t="s">
        <v>170</v>
      </c>
      <c r="G904" s="17" t="str">
        <f t="shared" si="14"/>
        <v>Small</v>
      </c>
      <c r="H904" s="3">
        <v>1013</v>
      </c>
      <c r="I904" s="4">
        <v>30.1</v>
      </c>
      <c r="J904" s="5">
        <v>99240.061204343539</v>
      </c>
      <c r="K904" s="6">
        <v>0</v>
      </c>
      <c r="L904" s="5">
        <v>92.771915103652518</v>
      </c>
      <c r="M904" s="5">
        <v>155.57749259624876</v>
      </c>
      <c r="N904" s="11">
        <v>2774.0337907206317</v>
      </c>
      <c r="O904" s="13">
        <v>2024</v>
      </c>
    </row>
    <row r="905" spans="1:15" ht="14.5" customHeight="1" x14ac:dyDescent="0.35">
      <c r="A905" s="20" t="s">
        <v>1810</v>
      </c>
      <c r="B905" s="15" t="s">
        <v>1811</v>
      </c>
      <c r="C905" s="15" t="s">
        <v>3108</v>
      </c>
      <c r="D905" s="16" t="s">
        <v>451</v>
      </c>
      <c r="E905" s="15" t="s">
        <v>173</v>
      </c>
      <c r="F905" s="15" t="s">
        <v>170</v>
      </c>
      <c r="G905" s="17" t="str">
        <f t="shared" si="14"/>
        <v>Small</v>
      </c>
      <c r="H905" s="3">
        <v>1637</v>
      </c>
      <c r="I905" s="4">
        <v>37.299999999999997</v>
      </c>
      <c r="J905" s="5">
        <v>181455.4770922419</v>
      </c>
      <c r="K905" s="6">
        <v>2.9221665621205007E-3</v>
      </c>
      <c r="L905" s="5">
        <v>714.6009224190592</v>
      </c>
      <c r="M905" s="5">
        <v>0</v>
      </c>
      <c r="N905" s="11">
        <v>945.08437996334749</v>
      </c>
      <c r="O905" s="13">
        <v>2024</v>
      </c>
    </row>
    <row r="906" spans="1:15" ht="14.5" customHeight="1" x14ac:dyDescent="0.35">
      <c r="A906" s="20" t="s">
        <v>1812</v>
      </c>
      <c r="B906" s="15" t="s">
        <v>43</v>
      </c>
      <c r="C906" s="15" t="s">
        <v>3108</v>
      </c>
      <c r="D906" s="16" t="s">
        <v>43</v>
      </c>
      <c r="E906" s="15" t="s">
        <v>207</v>
      </c>
      <c r="F906" s="15" t="s">
        <v>208</v>
      </c>
      <c r="G906" s="17" t="str">
        <f t="shared" si="14"/>
        <v>Medium</v>
      </c>
      <c r="H906" s="3">
        <v>12660</v>
      </c>
      <c r="I906" s="4">
        <v>26.8</v>
      </c>
      <c r="J906" s="5">
        <v>152983.29194312796</v>
      </c>
      <c r="K906" s="6">
        <v>6.0502430441252185E-3</v>
      </c>
      <c r="L906" s="5">
        <v>1024.7665876777251</v>
      </c>
      <c r="M906" s="5">
        <v>238.15165876777252</v>
      </c>
      <c r="N906" s="11">
        <v>1764.7544233807266</v>
      </c>
      <c r="O906" s="13">
        <v>2024</v>
      </c>
    </row>
    <row r="907" spans="1:15" ht="14.5" customHeight="1" x14ac:dyDescent="0.35">
      <c r="A907" s="20" t="s">
        <v>1813</v>
      </c>
      <c r="B907" s="15" t="s">
        <v>1814</v>
      </c>
      <c r="C907" s="15" t="s">
        <v>3108</v>
      </c>
      <c r="D907" s="16" t="s">
        <v>39</v>
      </c>
      <c r="E907" s="15" t="s">
        <v>173</v>
      </c>
      <c r="F907" s="15" t="s">
        <v>170</v>
      </c>
      <c r="G907" s="17" t="str">
        <f t="shared" si="14"/>
        <v>Small</v>
      </c>
      <c r="H907" s="3">
        <v>4890</v>
      </c>
      <c r="I907" s="4">
        <v>32.9</v>
      </c>
      <c r="J907" s="5">
        <v>137966.2654396728</v>
      </c>
      <c r="K907" s="6">
        <v>2.0386240708692373E-3</v>
      </c>
      <c r="L907" s="5">
        <v>495.36191615541929</v>
      </c>
      <c r="M907" s="5">
        <v>0</v>
      </c>
      <c r="N907" s="11">
        <v>683.78556441717797</v>
      </c>
      <c r="O907" s="13">
        <v>2024</v>
      </c>
    </row>
    <row r="908" spans="1:15" ht="14.5" customHeight="1" x14ac:dyDescent="0.35">
      <c r="A908" s="20" t="s">
        <v>1815</v>
      </c>
      <c r="B908" s="15" t="s">
        <v>1816</v>
      </c>
      <c r="C908" s="15" t="s">
        <v>3108</v>
      </c>
      <c r="D908" s="16" t="s">
        <v>69</v>
      </c>
      <c r="E908" s="15" t="s">
        <v>173</v>
      </c>
      <c r="F908" s="15" t="s">
        <v>170</v>
      </c>
      <c r="G908" s="17" t="str">
        <f t="shared" si="14"/>
        <v>Small</v>
      </c>
      <c r="H908" s="3">
        <v>4116</v>
      </c>
      <c r="I908" s="4">
        <v>46.3</v>
      </c>
      <c r="J908" s="5">
        <v>70698.18343051507</v>
      </c>
      <c r="K908" s="6">
        <v>3.357374688113117E-3</v>
      </c>
      <c r="L908" s="5">
        <v>306.51920553935861</v>
      </c>
      <c r="M908" s="5">
        <v>31.981778425655978</v>
      </c>
      <c r="N908" s="11">
        <v>426.32318756073857</v>
      </c>
      <c r="O908" s="13">
        <v>2024</v>
      </c>
    </row>
    <row r="909" spans="1:15" ht="14.5" customHeight="1" x14ac:dyDescent="0.35">
      <c r="A909" s="20" t="s">
        <v>1817</v>
      </c>
      <c r="B909" s="15" t="s">
        <v>1818</v>
      </c>
      <c r="C909" s="15" t="s">
        <v>3108</v>
      </c>
      <c r="D909" s="16" t="s">
        <v>11</v>
      </c>
      <c r="E909" s="15" t="s">
        <v>173</v>
      </c>
      <c r="F909" s="15" t="s">
        <v>170</v>
      </c>
      <c r="G909" s="17" t="str">
        <f t="shared" si="14"/>
        <v>Medium</v>
      </c>
      <c r="H909" s="3">
        <v>56138</v>
      </c>
      <c r="I909" s="4">
        <v>35.5</v>
      </c>
      <c r="J909" s="5">
        <v>57606.518062631374</v>
      </c>
      <c r="K909" s="6" t="s">
        <v>27</v>
      </c>
      <c r="L909" s="5">
        <v>0</v>
      </c>
      <c r="M909" s="5">
        <v>0</v>
      </c>
      <c r="N909" s="11">
        <v>0</v>
      </c>
      <c r="O909" s="13">
        <v>2024</v>
      </c>
    </row>
    <row r="910" spans="1:15" ht="14.5" customHeight="1" x14ac:dyDescent="0.35">
      <c r="A910" s="20" t="s">
        <v>1819</v>
      </c>
      <c r="B910" s="15" t="s">
        <v>1820</v>
      </c>
      <c r="C910" s="15" t="s">
        <v>3108</v>
      </c>
      <c r="D910" s="16" t="s">
        <v>9</v>
      </c>
      <c r="E910" s="15" t="s">
        <v>207</v>
      </c>
      <c r="F910" s="15" t="s">
        <v>208</v>
      </c>
      <c r="G910" s="17" t="str">
        <f t="shared" si="14"/>
        <v>Small</v>
      </c>
      <c r="H910" s="3">
        <v>4558</v>
      </c>
      <c r="I910" s="4">
        <v>37.5</v>
      </c>
      <c r="J910" s="5">
        <v>192801.57964019306</v>
      </c>
      <c r="K910" s="6">
        <v>2.1967260422745103E-3</v>
      </c>
      <c r="L910" s="5">
        <v>532.9172882843352</v>
      </c>
      <c r="M910" s="5">
        <v>89.95173321632295</v>
      </c>
      <c r="N910" s="11">
        <v>944.58205353225094</v>
      </c>
      <c r="O910" s="13">
        <v>2024</v>
      </c>
    </row>
    <row r="911" spans="1:15" ht="14.5" customHeight="1" x14ac:dyDescent="0.35">
      <c r="A911" s="20" t="s">
        <v>1821</v>
      </c>
      <c r="B911" s="15" t="s">
        <v>1822</v>
      </c>
      <c r="C911" s="15" t="s">
        <v>3108</v>
      </c>
      <c r="D911" s="16" t="s">
        <v>18</v>
      </c>
      <c r="E911" s="15" t="s">
        <v>173</v>
      </c>
      <c r="F911" s="15" t="s">
        <v>170</v>
      </c>
      <c r="G911" s="17" t="str">
        <f t="shared" si="14"/>
        <v>Small</v>
      </c>
      <c r="H911" s="3">
        <v>2122</v>
      </c>
      <c r="I911" s="4">
        <v>41</v>
      </c>
      <c r="J911" s="5">
        <v>197683.86757775684</v>
      </c>
      <c r="K911" s="6">
        <v>5.7823141098097509E-3</v>
      </c>
      <c r="L911" s="5">
        <v>1249.9721960414704</v>
      </c>
      <c r="M911" s="5">
        <v>613.21630537229032</v>
      </c>
      <c r="N911" s="11">
        <v>1725.9915174363807</v>
      </c>
      <c r="O911" s="13">
        <v>2024</v>
      </c>
    </row>
    <row r="912" spans="1:15" ht="14.5" customHeight="1" x14ac:dyDescent="0.35">
      <c r="A912" s="20" t="s">
        <v>1823</v>
      </c>
      <c r="B912" s="15" t="s">
        <v>1824</v>
      </c>
      <c r="C912" s="15" t="s">
        <v>3108</v>
      </c>
      <c r="D912" s="16" t="s">
        <v>89</v>
      </c>
      <c r="E912" s="15" t="s">
        <v>183</v>
      </c>
      <c r="F912" s="15" t="s">
        <v>170</v>
      </c>
      <c r="G912" s="17" t="str">
        <f t="shared" si="14"/>
        <v>Medium</v>
      </c>
      <c r="H912" s="3">
        <v>14367</v>
      </c>
      <c r="I912" s="4">
        <v>35.4</v>
      </c>
      <c r="J912" s="5">
        <v>65463.25607294494</v>
      </c>
      <c r="K912" s="6">
        <v>3.324433780969614E-3</v>
      </c>
      <c r="L912" s="5">
        <v>240.57129811373284</v>
      </c>
      <c r="M912" s="5">
        <v>143.73216398691446</v>
      </c>
      <c r="N912" s="11">
        <v>367.00534906382683</v>
      </c>
      <c r="O912" s="13">
        <v>2024</v>
      </c>
    </row>
    <row r="913" spans="1:15" ht="14.5" customHeight="1" x14ac:dyDescent="0.35">
      <c r="A913" s="20" t="s">
        <v>1825</v>
      </c>
      <c r="B913" s="15" t="s">
        <v>1826</v>
      </c>
      <c r="C913" s="15" t="s">
        <v>3108</v>
      </c>
      <c r="D913" s="16" t="s">
        <v>24</v>
      </c>
      <c r="E913" s="15" t="s">
        <v>173</v>
      </c>
      <c r="F913" s="15" t="s">
        <v>170</v>
      </c>
      <c r="G913" s="17" t="str">
        <f t="shared" si="14"/>
        <v>Small</v>
      </c>
      <c r="H913" s="3">
        <v>1539</v>
      </c>
      <c r="I913" s="4">
        <v>41.5</v>
      </c>
      <c r="J913" s="5">
        <v>74521.484080571798</v>
      </c>
      <c r="K913" s="6" t="s">
        <v>27</v>
      </c>
      <c r="L913" s="5">
        <v>0</v>
      </c>
      <c r="M913" s="5">
        <v>0</v>
      </c>
      <c r="N913" s="11">
        <v>0</v>
      </c>
      <c r="O913" s="13">
        <v>2024</v>
      </c>
    </row>
    <row r="914" spans="1:15" ht="14.5" customHeight="1" x14ac:dyDescent="0.35">
      <c r="A914" s="20" t="s">
        <v>1827</v>
      </c>
      <c r="B914" s="15" t="s">
        <v>1828</v>
      </c>
      <c r="C914" s="15" t="s">
        <v>3108</v>
      </c>
      <c r="D914" s="16" t="s">
        <v>588</v>
      </c>
      <c r="E914" s="15" t="s">
        <v>178</v>
      </c>
      <c r="F914" s="15" t="s">
        <v>170</v>
      </c>
      <c r="G914" s="17" t="str">
        <f t="shared" si="14"/>
        <v>Small</v>
      </c>
      <c r="H914" s="3">
        <v>1656</v>
      </c>
      <c r="I914" s="4">
        <v>32</v>
      </c>
      <c r="J914" s="5">
        <v>177088.77596618357</v>
      </c>
      <c r="K914" s="6">
        <v>1.9741045094494674E-3</v>
      </c>
      <c r="L914" s="5">
        <v>472.68307971014497</v>
      </c>
      <c r="M914" s="5">
        <v>1898.2626388888889</v>
      </c>
      <c r="N914" s="11">
        <v>1163.5907427536231</v>
      </c>
      <c r="O914" s="13">
        <v>2024</v>
      </c>
    </row>
    <row r="915" spans="1:15" ht="14.5" customHeight="1" x14ac:dyDescent="0.35">
      <c r="A915" s="20" t="s">
        <v>1829</v>
      </c>
      <c r="B915" s="15" t="s">
        <v>1830</v>
      </c>
      <c r="C915" s="15" t="s">
        <v>3108</v>
      </c>
      <c r="D915" s="16" t="s">
        <v>5</v>
      </c>
      <c r="E915" s="15" t="s">
        <v>183</v>
      </c>
      <c r="F915" s="15" t="s">
        <v>170</v>
      </c>
      <c r="G915" s="17" t="str">
        <f t="shared" si="14"/>
        <v>Small</v>
      </c>
      <c r="H915" s="3">
        <v>1236</v>
      </c>
      <c r="I915" s="4">
        <v>41.1</v>
      </c>
      <c r="J915" s="5">
        <v>108104.06715210355</v>
      </c>
      <c r="K915" s="6">
        <v>4.4904591103021932E-3</v>
      </c>
      <c r="L915" s="5">
        <v>847.92952265372162</v>
      </c>
      <c r="M915" s="5">
        <v>80.099652103559876</v>
      </c>
      <c r="N915" s="11">
        <v>1118.3150000000001</v>
      </c>
      <c r="O915" s="13">
        <v>2024</v>
      </c>
    </row>
    <row r="916" spans="1:15" ht="14.5" customHeight="1" x14ac:dyDescent="0.35">
      <c r="A916" s="20" t="s">
        <v>1831</v>
      </c>
      <c r="B916" s="15" t="s">
        <v>1832</v>
      </c>
      <c r="C916" s="15" t="s">
        <v>3108</v>
      </c>
      <c r="D916" s="16" t="s">
        <v>81</v>
      </c>
      <c r="E916" s="15" t="s">
        <v>214</v>
      </c>
      <c r="F916" s="15" t="s">
        <v>170</v>
      </c>
      <c r="G916" s="17" t="str">
        <f t="shared" si="14"/>
        <v>Small</v>
      </c>
      <c r="H916" s="3">
        <v>8318</v>
      </c>
      <c r="I916" s="4">
        <v>37.799999999999997</v>
      </c>
      <c r="J916" s="5">
        <v>85223.464654965137</v>
      </c>
      <c r="K916" s="6">
        <v>6.9204085962827741E-4</v>
      </c>
      <c r="L916" s="5">
        <v>238.63705217600383</v>
      </c>
      <c r="M916" s="5">
        <v>0</v>
      </c>
      <c r="N916" s="11">
        <v>350.67852849242604</v>
      </c>
      <c r="O916" s="13">
        <v>2024</v>
      </c>
    </row>
    <row r="917" spans="1:15" ht="14.5" customHeight="1" x14ac:dyDescent="0.35">
      <c r="A917" s="20" t="s">
        <v>1833</v>
      </c>
      <c r="B917" s="15" t="s">
        <v>1834</v>
      </c>
      <c r="C917" s="15" t="s">
        <v>3108</v>
      </c>
      <c r="D917" s="16" t="s">
        <v>81</v>
      </c>
      <c r="E917" s="15" t="s">
        <v>214</v>
      </c>
      <c r="F917" s="15" t="s">
        <v>170</v>
      </c>
      <c r="G917" s="17" t="str">
        <f t="shared" si="14"/>
        <v>Small</v>
      </c>
      <c r="H917" s="3">
        <v>5974</v>
      </c>
      <c r="I917" s="4">
        <v>69.2</v>
      </c>
      <c r="J917" s="5">
        <v>83885.834616672248</v>
      </c>
      <c r="K917" s="6">
        <v>2.0143374792851803E-3</v>
      </c>
      <c r="L917" s="5">
        <v>508.09935219283557</v>
      </c>
      <c r="M917" s="5">
        <v>4467.9723803146971</v>
      </c>
      <c r="N917" s="11">
        <v>1709.5248242383664</v>
      </c>
      <c r="O917" s="13">
        <v>2024</v>
      </c>
    </row>
    <row r="918" spans="1:15" ht="14.5" customHeight="1" x14ac:dyDescent="0.35">
      <c r="A918" s="20" t="s">
        <v>1835</v>
      </c>
      <c r="B918" s="15" t="s">
        <v>1836</v>
      </c>
      <c r="C918" s="15" t="s">
        <v>3108</v>
      </c>
      <c r="D918" s="16" t="s">
        <v>11</v>
      </c>
      <c r="E918" s="15" t="s">
        <v>173</v>
      </c>
      <c r="F918" s="15" t="s">
        <v>170</v>
      </c>
      <c r="G918" s="17" t="str">
        <f t="shared" si="14"/>
        <v>Medium</v>
      </c>
      <c r="H918" s="3">
        <v>29313</v>
      </c>
      <c r="I918" s="4">
        <v>51.7</v>
      </c>
      <c r="J918" s="5">
        <v>79907.845324600014</v>
      </c>
      <c r="K918" s="6">
        <v>4.7471391914474942E-3</v>
      </c>
      <c r="L918" s="5">
        <v>782.69814314467976</v>
      </c>
      <c r="M918" s="5">
        <v>865.54791389485888</v>
      </c>
      <c r="N918" s="11">
        <v>1488.2171101559036</v>
      </c>
      <c r="O918" s="13">
        <v>2024</v>
      </c>
    </row>
    <row r="919" spans="1:15" ht="14.5" customHeight="1" x14ac:dyDescent="0.35">
      <c r="A919" s="20" t="s">
        <v>1837</v>
      </c>
      <c r="B919" s="15" t="s">
        <v>1838</v>
      </c>
      <c r="C919" s="15" t="s">
        <v>3108</v>
      </c>
      <c r="D919" s="16" t="s">
        <v>24</v>
      </c>
      <c r="E919" s="15" t="s">
        <v>173</v>
      </c>
      <c r="F919" s="15" t="s">
        <v>170</v>
      </c>
      <c r="G919" s="17" t="str">
        <f t="shared" si="14"/>
        <v>Small</v>
      </c>
      <c r="H919" s="3">
        <v>3355</v>
      </c>
      <c r="I919" s="4">
        <v>38.299999999999997</v>
      </c>
      <c r="J919" s="5">
        <v>92581.143368107296</v>
      </c>
      <c r="K919" s="6">
        <v>2.7326316648361598E-3</v>
      </c>
      <c r="L919" s="5">
        <v>484.23070044709391</v>
      </c>
      <c r="M919" s="5">
        <v>307.39493293591653</v>
      </c>
      <c r="N919" s="11">
        <v>685.88137108792841</v>
      </c>
      <c r="O919" s="13">
        <v>2024</v>
      </c>
    </row>
    <row r="920" spans="1:15" ht="14.5" customHeight="1" x14ac:dyDescent="0.35">
      <c r="A920" s="20" t="s">
        <v>1839</v>
      </c>
      <c r="B920" s="15" t="s">
        <v>1840</v>
      </c>
      <c r="C920" s="15" t="s">
        <v>3108</v>
      </c>
      <c r="D920" s="16" t="s">
        <v>15</v>
      </c>
      <c r="E920" s="15" t="s">
        <v>178</v>
      </c>
      <c r="F920" s="15" t="s">
        <v>170</v>
      </c>
      <c r="G920" s="17" t="str">
        <f t="shared" si="14"/>
        <v>Medium</v>
      </c>
      <c r="H920" s="3">
        <v>15860</v>
      </c>
      <c r="I920" s="4">
        <v>35.9</v>
      </c>
      <c r="J920" s="5">
        <v>170688.93883984868</v>
      </c>
      <c r="K920" s="6">
        <v>1.6798187607460111E-3</v>
      </c>
      <c r="L920" s="5">
        <v>793.23991172761669</v>
      </c>
      <c r="M920" s="5">
        <v>500</v>
      </c>
      <c r="N920" s="11">
        <v>859.95844892812102</v>
      </c>
      <c r="O920" s="13">
        <v>2024</v>
      </c>
    </row>
    <row r="921" spans="1:15" ht="14.5" customHeight="1" x14ac:dyDescent="0.35">
      <c r="A921" s="20" t="s">
        <v>1841</v>
      </c>
      <c r="B921" s="15" t="s">
        <v>1842</v>
      </c>
      <c r="C921" s="15" t="s">
        <v>3108</v>
      </c>
      <c r="D921" s="16" t="s">
        <v>5</v>
      </c>
      <c r="E921" s="15" t="s">
        <v>183</v>
      </c>
      <c r="F921" s="15" t="s">
        <v>170</v>
      </c>
      <c r="G921" s="17" t="str">
        <f t="shared" si="14"/>
        <v>Small</v>
      </c>
      <c r="H921" s="3">
        <v>1652</v>
      </c>
      <c r="I921" s="4">
        <v>34.4</v>
      </c>
      <c r="J921" s="5">
        <v>68629.164043583529</v>
      </c>
      <c r="K921" s="6">
        <v>5.0710745584365375E-3</v>
      </c>
      <c r="L921" s="5">
        <v>574.48815375302661</v>
      </c>
      <c r="M921" s="5">
        <v>0</v>
      </c>
      <c r="N921" s="11">
        <v>743.2450121065375</v>
      </c>
      <c r="O921" s="13">
        <v>2024</v>
      </c>
    </row>
    <row r="922" spans="1:15" ht="14.5" customHeight="1" x14ac:dyDescent="0.35">
      <c r="A922" s="20" t="s">
        <v>1843</v>
      </c>
      <c r="B922" s="15" t="s">
        <v>1844</v>
      </c>
      <c r="C922" s="15" t="s">
        <v>3108</v>
      </c>
      <c r="D922" s="16" t="s">
        <v>81</v>
      </c>
      <c r="E922" s="15" t="s">
        <v>214</v>
      </c>
      <c r="F922" s="15" t="s">
        <v>170</v>
      </c>
      <c r="G922" s="17" t="str">
        <f t="shared" si="14"/>
        <v>Small</v>
      </c>
      <c r="H922" s="3">
        <v>5260</v>
      </c>
      <c r="I922" s="4">
        <v>61.5</v>
      </c>
      <c r="J922" s="5">
        <v>107987.12129277567</v>
      </c>
      <c r="K922" s="6">
        <v>1.1553780411548793E-3</v>
      </c>
      <c r="L922" s="5">
        <v>464.27625665399245</v>
      </c>
      <c r="M922" s="5">
        <v>315.6832699619772</v>
      </c>
      <c r="N922" s="11">
        <v>505.45382509505703</v>
      </c>
      <c r="O922" s="13">
        <v>2024</v>
      </c>
    </row>
    <row r="923" spans="1:15" ht="14.5" customHeight="1" x14ac:dyDescent="0.35">
      <c r="A923" s="20" t="s">
        <v>1845</v>
      </c>
      <c r="B923" s="15" t="s">
        <v>1846</v>
      </c>
      <c r="C923" s="15" t="s">
        <v>3108</v>
      </c>
      <c r="D923" s="16" t="s">
        <v>22</v>
      </c>
      <c r="E923" s="15" t="s">
        <v>186</v>
      </c>
      <c r="F923" s="15" t="s">
        <v>170</v>
      </c>
      <c r="G923" s="17" t="str">
        <f t="shared" si="14"/>
        <v>Small</v>
      </c>
      <c r="H923" s="3">
        <v>1057</v>
      </c>
      <c r="I923" s="4">
        <v>36.1</v>
      </c>
      <c r="J923" s="5">
        <v>92238.534531693469</v>
      </c>
      <c r="K923" s="6">
        <v>4.996895722969766E-3</v>
      </c>
      <c r="L923" s="5">
        <v>810.79470198675494</v>
      </c>
      <c r="M923" s="5">
        <v>0</v>
      </c>
      <c r="N923" s="11">
        <v>1473.7407757805108</v>
      </c>
      <c r="O923" s="13">
        <v>2024</v>
      </c>
    </row>
    <row r="924" spans="1:15" ht="14.5" customHeight="1" x14ac:dyDescent="0.35">
      <c r="A924" s="20" t="s">
        <v>1847</v>
      </c>
      <c r="B924" s="15" t="s">
        <v>1848</v>
      </c>
      <c r="C924" s="15" t="s">
        <v>3108</v>
      </c>
      <c r="D924" s="16" t="s">
        <v>20</v>
      </c>
      <c r="E924" s="15" t="s">
        <v>183</v>
      </c>
      <c r="F924" s="15" t="s">
        <v>170</v>
      </c>
      <c r="G924" s="17" t="str">
        <f t="shared" si="14"/>
        <v>Small</v>
      </c>
      <c r="H924" s="3">
        <v>2425</v>
      </c>
      <c r="I924" s="4">
        <v>47.4</v>
      </c>
      <c r="J924" s="5">
        <v>116917.35587628865</v>
      </c>
      <c r="K924" s="6">
        <v>1.9657556825371349E-3</v>
      </c>
      <c r="L924" s="5">
        <v>681.45097319587637</v>
      </c>
      <c r="M924" s="5">
        <v>185.56701030927834</v>
      </c>
      <c r="N924" s="11">
        <v>976.01490309278358</v>
      </c>
      <c r="O924" s="13">
        <v>2024</v>
      </c>
    </row>
    <row r="925" spans="1:15" ht="14.5" customHeight="1" x14ac:dyDescent="0.35">
      <c r="A925" s="20" t="s">
        <v>1849</v>
      </c>
      <c r="B925" s="15" t="s">
        <v>1850</v>
      </c>
      <c r="C925" s="15" t="s">
        <v>3108</v>
      </c>
      <c r="D925" s="16" t="s">
        <v>26</v>
      </c>
      <c r="E925" s="15" t="s">
        <v>183</v>
      </c>
      <c r="F925" s="15" t="s">
        <v>170</v>
      </c>
      <c r="G925" s="17" t="str">
        <f t="shared" si="14"/>
        <v>Small</v>
      </c>
      <c r="H925" s="3">
        <v>5671</v>
      </c>
      <c r="I925" s="4">
        <v>48.2</v>
      </c>
      <c r="J925" s="5">
        <v>73052.193616646095</v>
      </c>
      <c r="K925" s="6" t="s">
        <v>27</v>
      </c>
      <c r="L925" s="5">
        <v>0</v>
      </c>
      <c r="M925" s="5">
        <v>0</v>
      </c>
      <c r="N925" s="11">
        <v>0</v>
      </c>
      <c r="O925" s="13">
        <v>2024</v>
      </c>
    </row>
    <row r="926" spans="1:15" ht="14.5" customHeight="1" x14ac:dyDescent="0.35">
      <c r="A926" s="20" t="s">
        <v>1851</v>
      </c>
      <c r="B926" s="15" t="s">
        <v>1852</v>
      </c>
      <c r="C926" s="15" t="s">
        <v>3108</v>
      </c>
      <c r="D926" s="16" t="s">
        <v>63</v>
      </c>
      <c r="E926" s="15" t="s">
        <v>169</v>
      </c>
      <c r="F926" s="15" t="s">
        <v>170</v>
      </c>
      <c r="G926" s="17" t="str">
        <f t="shared" si="14"/>
        <v>Small</v>
      </c>
      <c r="H926" s="3">
        <v>2235</v>
      </c>
      <c r="I926" s="4">
        <v>51.6</v>
      </c>
      <c r="J926" s="5">
        <v>92252.802237136464</v>
      </c>
      <c r="K926" s="6" t="s">
        <v>27</v>
      </c>
      <c r="L926" s="5">
        <v>0</v>
      </c>
      <c r="M926" s="5">
        <v>0</v>
      </c>
      <c r="N926" s="11">
        <v>0</v>
      </c>
      <c r="O926" s="13">
        <v>2024</v>
      </c>
    </row>
    <row r="927" spans="1:15" ht="14.5" customHeight="1" x14ac:dyDescent="0.35">
      <c r="A927" s="20" t="s">
        <v>1853</v>
      </c>
      <c r="B927" s="15" t="s">
        <v>1854</v>
      </c>
      <c r="C927" s="15" t="s">
        <v>3108</v>
      </c>
      <c r="D927" s="16" t="s">
        <v>13</v>
      </c>
      <c r="E927" s="15" t="s">
        <v>186</v>
      </c>
      <c r="F927" s="15" t="s">
        <v>170</v>
      </c>
      <c r="G927" s="17" t="str">
        <f t="shared" si="14"/>
        <v>Small</v>
      </c>
      <c r="H927" s="3">
        <v>3009</v>
      </c>
      <c r="I927" s="4">
        <v>35.6</v>
      </c>
      <c r="J927" s="5">
        <v>146317.71219674312</v>
      </c>
      <c r="K927" s="6">
        <v>1.509330651730353E-3</v>
      </c>
      <c r="L927" s="5">
        <v>443.69524759056162</v>
      </c>
      <c r="M927" s="5">
        <v>0</v>
      </c>
      <c r="N927" s="11">
        <v>612.84778996344301</v>
      </c>
      <c r="O927" s="13">
        <v>2024</v>
      </c>
    </row>
    <row r="928" spans="1:15" ht="14.5" customHeight="1" x14ac:dyDescent="0.35">
      <c r="A928" s="20" t="s">
        <v>1855</v>
      </c>
      <c r="B928" s="15" t="s">
        <v>1856</v>
      </c>
      <c r="C928" s="15" t="s">
        <v>3108</v>
      </c>
      <c r="D928" s="16" t="s">
        <v>53</v>
      </c>
      <c r="E928" s="15" t="s">
        <v>207</v>
      </c>
      <c r="F928" s="15" t="s">
        <v>208</v>
      </c>
      <c r="G928" s="17" t="str">
        <f t="shared" si="14"/>
        <v>Medium</v>
      </c>
      <c r="H928" s="3">
        <v>30486</v>
      </c>
      <c r="I928" s="4">
        <v>62.1</v>
      </c>
      <c r="J928" s="5">
        <v>142752.36820179754</v>
      </c>
      <c r="K928" s="6" t="s">
        <v>27</v>
      </c>
      <c r="L928" s="5">
        <v>0</v>
      </c>
      <c r="M928" s="5">
        <v>0</v>
      </c>
      <c r="N928" s="11">
        <v>0</v>
      </c>
      <c r="O928" s="13">
        <v>2024</v>
      </c>
    </row>
    <row r="929" spans="1:15" ht="14.5" customHeight="1" x14ac:dyDescent="0.35">
      <c r="A929" s="20" t="s">
        <v>1857</v>
      </c>
      <c r="B929" s="15" t="s">
        <v>1858</v>
      </c>
      <c r="C929" s="15" t="s">
        <v>3108</v>
      </c>
      <c r="D929" s="16" t="s">
        <v>220</v>
      </c>
      <c r="E929" s="15" t="s">
        <v>173</v>
      </c>
      <c r="F929" s="15" t="s">
        <v>170</v>
      </c>
      <c r="G929" s="17" t="str">
        <f t="shared" si="14"/>
        <v>Small</v>
      </c>
      <c r="H929" s="3">
        <v>5270</v>
      </c>
      <c r="I929" s="4">
        <v>96.8</v>
      </c>
      <c r="J929" s="5">
        <v>92408.636812144206</v>
      </c>
      <c r="K929" s="6">
        <v>2.8562166729135673E-3</v>
      </c>
      <c r="L929" s="5">
        <v>273.22250853889943</v>
      </c>
      <c r="M929" s="5">
        <v>0</v>
      </c>
      <c r="N929" s="11">
        <v>414.44212333965851</v>
      </c>
      <c r="O929" s="13">
        <v>2024</v>
      </c>
    </row>
    <row r="930" spans="1:15" ht="14.5" customHeight="1" x14ac:dyDescent="0.35">
      <c r="A930" s="20" t="s">
        <v>1859</v>
      </c>
      <c r="B930" s="15" t="s">
        <v>1860</v>
      </c>
      <c r="C930" s="15" t="s">
        <v>3108</v>
      </c>
      <c r="D930" s="16" t="s">
        <v>234</v>
      </c>
      <c r="E930" s="15" t="s">
        <v>178</v>
      </c>
      <c r="F930" s="15" t="s">
        <v>170</v>
      </c>
      <c r="G930" s="17" t="str">
        <f t="shared" si="14"/>
        <v>Small</v>
      </c>
      <c r="H930" s="3">
        <v>9253</v>
      </c>
      <c r="I930" s="4">
        <v>33.9</v>
      </c>
      <c r="J930" s="5">
        <v>90919.045066464925</v>
      </c>
      <c r="K930" s="6">
        <v>4.1671029019080827E-3</v>
      </c>
      <c r="L930" s="5">
        <v>537.02670485248029</v>
      </c>
      <c r="M930" s="5">
        <v>8.1054793040095099</v>
      </c>
      <c r="N930" s="11">
        <v>750.2106657300335</v>
      </c>
      <c r="O930" s="13">
        <v>2024</v>
      </c>
    </row>
    <row r="931" spans="1:15" ht="14.5" customHeight="1" x14ac:dyDescent="0.35">
      <c r="A931" s="20" t="s">
        <v>1861</v>
      </c>
      <c r="B931" s="15" t="s">
        <v>1862</v>
      </c>
      <c r="C931" s="15" t="s">
        <v>3108</v>
      </c>
      <c r="D931" s="16" t="s">
        <v>9</v>
      </c>
      <c r="E931" s="15" t="s">
        <v>207</v>
      </c>
      <c r="F931" s="15" t="s">
        <v>208</v>
      </c>
      <c r="G931" s="17" t="str">
        <f t="shared" si="14"/>
        <v>Medium</v>
      </c>
      <c r="H931" s="3">
        <v>28216</v>
      </c>
      <c r="I931" s="4">
        <v>27.1</v>
      </c>
      <c r="J931" s="5">
        <v>131783.08477459598</v>
      </c>
      <c r="K931" s="6">
        <v>2.3900191661366523E-3</v>
      </c>
      <c r="L931" s="5">
        <v>396.26283385313292</v>
      </c>
      <c r="M931" s="5">
        <v>904.23929685284941</v>
      </c>
      <c r="N931" s="11">
        <v>799.17401651545231</v>
      </c>
      <c r="O931" s="13">
        <v>2024</v>
      </c>
    </row>
    <row r="932" spans="1:15" ht="14.5" customHeight="1" x14ac:dyDescent="0.35">
      <c r="A932" s="20" t="s">
        <v>1863</v>
      </c>
      <c r="B932" s="15" t="s">
        <v>1864</v>
      </c>
      <c r="C932" s="15" t="s">
        <v>3108</v>
      </c>
      <c r="D932" s="16" t="s">
        <v>193</v>
      </c>
      <c r="E932" s="15" t="s">
        <v>186</v>
      </c>
      <c r="F932" s="15" t="s">
        <v>170</v>
      </c>
      <c r="G932" s="17" t="str">
        <f t="shared" si="14"/>
        <v>Small</v>
      </c>
      <c r="H932" s="3">
        <v>334</v>
      </c>
      <c r="I932" s="4">
        <v>29.2</v>
      </c>
      <c r="J932" s="5">
        <v>115226.5</v>
      </c>
      <c r="K932" s="6">
        <v>8.0272278621452975E-3</v>
      </c>
      <c r="L932" s="5">
        <v>927.6732035928145</v>
      </c>
      <c r="M932" s="5">
        <v>0</v>
      </c>
      <c r="N932" s="11">
        <v>2184.6205988023953</v>
      </c>
      <c r="O932" s="13">
        <v>2024</v>
      </c>
    </row>
    <row r="933" spans="1:15" ht="14.5" customHeight="1" x14ac:dyDescent="0.35">
      <c r="A933" s="20" t="s">
        <v>1865</v>
      </c>
      <c r="B933" s="15" t="s">
        <v>32</v>
      </c>
      <c r="C933" s="15" t="s">
        <v>3108</v>
      </c>
      <c r="D933" s="16" t="s">
        <v>46</v>
      </c>
      <c r="E933" s="15" t="s">
        <v>214</v>
      </c>
      <c r="F933" s="15" t="s">
        <v>170</v>
      </c>
      <c r="G933" s="17" t="str">
        <f t="shared" si="14"/>
        <v>Small</v>
      </c>
      <c r="H933" s="3">
        <v>1029</v>
      </c>
      <c r="I933" s="4">
        <v>37.799999999999997</v>
      </c>
      <c r="J933" s="5">
        <v>104138.91448007774</v>
      </c>
      <c r="K933" s="6">
        <v>5.2067422874822493E-3</v>
      </c>
      <c r="L933" s="5">
        <v>722.41010689990287</v>
      </c>
      <c r="M933" s="5">
        <v>130.47910592808552</v>
      </c>
      <c r="N933" s="11">
        <v>1103.5014577259476</v>
      </c>
      <c r="O933" s="13">
        <v>2024</v>
      </c>
    </row>
    <row r="934" spans="1:15" ht="14.5" customHeight="1" x14ac:dyDescent="0.35">
      <c r="A934" s="20" t="s">
        <v>1866</v>
      </c>
      <c r="B934" s="15" t="s">
        <v>1867</v>
      </c>
      <c r="C934" s="15" t="s">
        <v>3108</v>
      </c>
      <c r="D934" s="16" t="s">
        <v>32</v>
      </c>
      <c r="E934" s="15" t="s">
        <v>217</v>
      </c>
      <c r="F934" s="15" t="s">
        <v>170</v>
      </c>
      <c r="G934" s="17" t="str">
        <f t="shared" si="14"/>
        <v>Small</v>
      </c>
      <c r="H934" s="3">
        <v>3959</v>
      </c>
      <c r="I934" s="4">
        <v>63.5</v>
      </c>
      <c r="J934" s="5">
        <v>105353.11745390249</v>
      </c>
      <c r="K934" s="6">
        <v>3.5387791890782957E-3</v>
      </c>
      <c r="L934" s="5">
        <v>663.84309926749165</v>
      </c>
      <c r="M934" s="5">
        <v>329.60615054306641</v>
      </c>
      <c r="N934" s="11">
        <v>1330.9586486486487</v>
      </c>
      <c r="O934" s="13">
        <v>2024</v>
      </c>
    </row>
    <row r="935" spans="1:15" ht="14.5" customHeight="1" x14ac:dyDescent="0.35">
      <c r="A935" s="20" t="s">
        <v>1868</v>
      </c>
      <c r="B935" s="15" t="s">
        <v>1869</v>
      </c>
      <c r="C935" s="15" t="s">
        <v>3108</v>
      </c>
      <c r="D935" s="16" t="s">
        <v>231</v>
      </c>
      <c r="E935" s="15" t="s">
        <v>178</v>
      </c>
      <c r="F935" s="15" t="s">
        <v>170</v>
      </c>
      <c r="G935" s="17" t="str">
        <f t="shared" si="14"/>
        <v>Small</v>
      </c>
      <c r="H935" s="3">
        <v>5316</v>
      </c>
      <c r="I935" s="4">
        <v>35.4</v>
      </c>
      <c r="J935" s="5">
        <v>61384.950150489087</v>
      </c>
      <c r="K935" s="6">
        <v>4.088392401018018E-3</v>
      </c>
      <c r="L935" s="5">
        <v>254.686230248307</v>
      </c>
      <c r="M935" s="5">
        <v>109.104589917231</v>
      </c>
      <c r="N935" s="11">
        <v>397.89522197140707</v>
      </c>
      <c r="O935" s="13">
        <v>2024</v>
      </c>
    </row>
    <row r="936" spans="1:15" ht="14.5" customHeight="1" x14ac:dyDescent="0.35">
      <c r="A936" s="20" t="s">
        <v>1870</v>
      </c>
      <c r="B936" s="15" t="s">
        <v>1871</v>
      </c>
      <c r="C936" s="15" t="s">
        <v>3108</v>
      </c>
      <c r="D936" s="16" t="s">
        <v>53</v>
      </c>
      <c r="E936" s="15" t="s">
        <v>207</v>
      </c>
      <c r="F936" s="15" t="s">
        <v>208</v>
      </c>
      <c r="G936" s="17" t="str">
        <f t="shared" si="14"/>
        <v>Medium</v>
      </c>
      <c r="H936" s="3">
        <v>32027</v>
      </c>
      <c r="I936" s="4">
        <v>101.3</v>
      </c>
      <c r="J936" s="5">
        <v>185858.10553595403</v>
      </c>
      <c r="K936" s="6">
        <v>2.3875505434791944E-3</v>
      </c>
      <c r="L936" s="5">
        <v>585.00368439129488</v>
      </c>
      <c r="M936" s="5">
        <v>258.46385861928997</v>
      </c>
      <c r="N936" s="11">
        <v>1036.7097449027383</v>
      </c>
      <c r="O936" s="13">
        <v>2024</v>
      </c>
    </row>
    <row r="937" spans="1:15" ht="14.5" customHeight="1" x14ac:dyDescent="0.35">
      <c r="A937" s="20" t="s">
        <v>1872</v>
      </c>
      <c r="B937" s="15" t="s">
        <v>237</v>
      </c>
      <c r="C937" s="15" t="s">
        <v>3108</v>
      </c>
      <c r="D937" s="16" t="s">
        <v>9</v>
      </c>
      <c r="E937" s="15" t="s">
        <v>207</v>
      </c>
      <c r="F937" s="15" t="s">
        <v>208</v>
      </c>
      <c r="G937" s="17" t="str">
        <f t="shared" si="14"/>
        <v>Small</v>
      </c>
      <c r="H937" s="3">
        <v>4522</v>
      </c>
      <c r="I937" s="4">
        <v>58.2</v>
      </c>
      <c r="J937" s="5">
        <v>349745.01393188856</v>
      </c>
      <c r="K937" s="6">
        <v>1.911737741497201E-3</v>
      </c>
      <c r="L937" s="5">
        <v>771.82927908005308</v>
      </c>
      <c r="M937" s="5">
        <v>412.8323750552853</v>
      </c>
      <c r="N937" s="11">
        <v>1085.5252100840337</v>
      </c>
      <c r="O937" s="13">
        <v>2024</v>
      </c>
    </row>
    <row r="938" spans="1:15" ht="14.5" customHeight="1" x14ac:dyDescent="0.35">
      <c r="A938" s="20" t="s">
        <v>1873</v>
      </c>
      <c r="B938" s="15" t="s">
        <v>1874</v>
      </c>
      <c r="C938" s="15" t="s">
        <v>3108</v>
      </c>
      <c r="D938" s="16" t="s">
        <v>51</v>
      </c>
      <c r="E938" s="15" t="s">
        <v>217</v>
      </c>
      <c r="F938" s="15" t="s">
        <v>170</v>
      </c>
      <c r="G938" s="17" t="str">
        <f t="shared" si="14"/>
        <v>Small</v>
      </c>
      <c r="H938" s="3">
        <v>8208</v>
      </c>
      <c r="I938" s="4">
        <v>6.6</v>
      </c>
      <c r="J938" s="5">
        <v>110092.48708576999</v>
      </c>
      <c r="K938" s="6" t="s">
        <v>27</v>
      </c>
      <c r="L938" s="5">
        <v>0</v>
      </c>
      <c r="M938" s="5">
        <v>0</v>
      </c>
      <c r="N938" s="11">
        <v>0</v>
      </c>
      <c r="O938" s="13">
        <v>2024</v>
      </c>
    </row>
    <row r="939" spans="1:15" ht="14.5" customHeight="1" x14ac:dyDescent="0.35">
      <c r="A939" s="20" t="s">
        <v>1875</v>
      </c>
      <c r="B939" s="15" t="s">
        <v>1876</v>
      </c>
      <c r="C939" s="15" t="s">
        <v>3108</v>
      </c>
      <c r="D939" s="16" t="s">
        <v>588</v>
      </c>
      <c r="E939" s="15" t="s">
        <v>178</v>
      </c>
      <c r="F939" s="15" t="s">
        <v>170</v>
      </c>
      <c r="G939" s="17" t="str">
        <f t="shared" si="14"/>
        <v>Small</v>
      </c>
      <c r="H939" s="3">
        <v>7378</v>
      </c>
      <c r="I939" s="4">
        <v>21.7</v>
      </c>
      <c r="J939" s="5">
        <v>58164.577392247222</v>
      </c>
      <c r="K939" s="6">
        <v>2.6353045777890711E-3</v>
      </c>
      <c r="L939" s="5">
        <v>176.66568175657358</v>
      </c>
      <c r="M939" s="5">
        <v>257.06166982922201</v>
      </c>
      <c r="N939" s="11">
        <v>640.28142314990509</v>
      </c>
      <c r="O939" s="13">
        <v>2024</v>
      </c>
    </row>
    <row r="940" spans="1:15" ht="14.5" customHeight="1" x14ac:dyDescent="0.35">
      <c r="A940" s="20" t="s">
        <v>1877</v>
      </c>
      <c r="B940" s="15" t="s">
        <v>148</v>
      </c>
      <c r="C940" s="15" t="s">
        <v>3108</v>
      </c>
      <c r="D940" s="16" t="s">
        <v>94</v>
      </c>
      <c r="E940" s="15" t="s">
        <v>169</v>
      </c>
      <c r="F940" s="15" t="s">
        <v>170</v>
      </c>
      <c r="G940" s="17" t="str">
        <f t="shared" si="14"/>
        <v>Small</v>
      </c>
      <c r="H940" s="3">
        <v>5913</v>
      </c>
      <c r="I940" s="4">
        <v>35.9</v>
      </c>
      <c r="J940" s="5">
        <v>102606.67562996787</v>
      </c>
      <c r="K940" s="6" t="s">
        <v>27</v>
      </c>
      <c r="L940" s="5">
        <v>0</v>
      </c>
      <c r="M940" s="5">
        <v>0</v>
      </c>
      <c r="N940" s="11">
        <v>0</v>
      </c>
      <c r="O940" s="13">
        <v>2024</v>
      </c>
    </row>
    <row r="941" spans="1:15" ht="14.5" customHeight="1" x14ac:dyDescent="0.35">
      <c r="A941" s="20" t="s">
        <v>1878</v>
      </c>
      <c r="B941" s="15" t="s">
        <v>1879</v>
      </c>
      <c r="C941" s="15" t="s">
        <v>3108</v>
      </c>
      <c r="D941" s="16" t="s">
        <v>597</v>
      </c>
      <c r="E941" s="15" t="s">
        <v>169</v>
      </c>
      <c r="F941" s="15" t="s">
        <v>170</v>
      </c>
      <c r="G941" s="17" t="str">
        <f t="shared" si="14"/>
        <v>Small</v>
      </c>
      <c r="H941" s="3">
        <v>1802</v>
      </c>
      <c r="I941" s="4">
        <v>112.7</v>
      </c>
      <c r="J941" s="5">
        <v>144628.59322974473</v>
      </c>
      <c r="K941" s="6">
        <v>4.8187265229962042E-3</v>
      </c>
      <c r="L941" s="5">
        <v>721.88413984461704</v>
      </c>
      <c r="M941" s="5">
        <v>2268.5904550499445</v>
      </c>
      <c r="N941" s="11">
        <v>1230.9758879023307</v>
      </c>
      <c r="O941" s="13">
        <v>2024</v>
      </c>
    </row>
    <row r="942" spans="1:15" ht="14.5" customHeight="1" x14ac:dyDescent="0.35">
      <c r="A942" s="20" t="s">
        <v>1880</v>
      </c>
      <c r="B942" s="15" t="s">
        <v>1881</v>
      </c>
      <c r="C942" s="15" t="s">
        <v>3108</v>
      </c>
      <c r="D942" s="16" t="s">
        <v>282</v>
      </c>
      <c r="E942" s="15" t="s">
        <v>169</v>
      </c>
      <c r="F942" s="15" t="s">
        <v>170</v>
      </c>
      <c r="G942" s="17" t="str">
        <f t="shared" si="14"/>
        <v>Small</v>
      </c>
      <c r="H942" s="3">
        <v>963</v>
      </c>
      <c r="I942" s="4">
        <v>125.1</v>
      </c>
      <c r="J942" s="5">
        <v>96818.924195223255</v>
      </c>
      <c r="K942" s="6" t="s">
        <v>27</v>
      </c>
      <c r="L942" s="5">
        <v>0</v>
      </c>
      <c r="M942" s="5">
        <v>0</v>
      </c>
      <c r="N942" s="11">
        <v>0</v>
      </c>
      <c r="O942" s="13">
        <v>2024</v>
      </c>
    </row>
    <row r="943" spans="1:15" ht="14.5" customHeight="1" x14ac:dyDescent="0.35">
      <c r="A943" s="20" t="s">
        <v>1882</v>
      </c>
      <c r="B943" s="15" t="s">
        <v>1883</v>
      </c>
      <c r="C943" s="15" t="s">
        <v>3108</v>
      </c>
      <c r="D943" s="16" t="s">
        <v>43</v>
      </c>
      <c r="E943" s="15" t="s">
        <v>207</v>
      </c>
      <c r="F943" s="15" t="s">
        <v>208</v>
      </c>
      <c r="G943" s="17" t="str">
        <f t="shared" si="14"/>
        <v>Medium</v>
      </c>
      <c r="H943" s="3">
        <v>12771</v>
      </c>
      <c r="I943" s="4">
        <v>130.5</v>
      </c>
      <c r="J943" s="5">
        <v>130246.52940255265</v>
      </c>
      <c r="K943" s="6">
        <v>4.3170537043402445E-3</v>
      </c>
      <c r="L943" s="5">
        <v>603.16404353613655</v>
      </c>
      <c r="M943" s="5">
        <v>1634.7393312974709</v>
      </c>
      <c r="N943" s="11">
        <v>1728.3637146660403</v>
      </c>
      <c r="O943" s="13">
        <v>2024</v>
      </c>
    </row>
    <row r="944" spans="1:15" ht="14.5" customHeight="1" x14ac:dyDescent="0.35">
      <c r="A944" s="20" t="s">
        <v>1884</v>
      </c>
      <c r="B944" s="15" t="s">
        <v>1885</v>
      </c>
      <c r="C944" s="15" t="s">
        <v>3108</v>
      </c>
      <c r="D944" s="16" t="s">
        <v>53</v>
      </c>
      <c r="E944" s="15" t="s">
        <v>207</v>
      </c>
      <c r="F944" s="15" t="s">
        <v>208</v>
      </c>
      <c r="G944" s="17" t="str">
        <f t="shared" si="14"/>
        <v>Small</v>
      </c>
      <c r="H944" s="3">
        <v>7534</v>
      </c>
      <c r="I944" s="4">
        <v>34.700000000000003</v>
      </c>
      <c r="J944" s="5">
        <v>165032.3845234935</v>
      </c>
      <c r="K944" s="6">
        <v>1.4216924715932768E-3</v>
      </c>
      <c r="L944" s="5">
        <v>572.28417839129281</v>
      </c>
      <c r="M944" s="5">
        <v>488.88545261481283</v>
      </c>
      <c r="N944" s="11">
        <v>1094.6671091053888</v>
      </c>
      <c r="O944" s="13">
        <v>2024</v>
      </c>
    </row>
    <row r="945" spans="1:15" ht="14.5" customHeight="1" x14ac:dyDescent="0.35">
      <c r="A945" s="20" t="s">
        <v>1886</v>
      </c>
      <c r="B945" s="15" t="s">
        <v>1887</v>
      </c>
      <c r="C945" s="15" t="s">
        <v>3108</v>
      </c>
      <c r="D945" s="16" t="s">
        <v>18</v>
      </c>
      <c r="E945" s="15" t="s">
        <v>173</v>
      </c>
      <c r="F945" s="15" t="s">
        <v>170</v>
      </c>
      <c r="G945" s="17" t="str">
        <f t="shared" si="14"/>
        <v>Small</v>
      </c>
      <c r="H945" s="3">
        <v>3732</v>
      </c>
      <c r="I945" s="4">
        <v>38.700000000000003</v>
      </c>
      <c r="J945" s="5">
        <v>63746.74303322615</v>
      </c>
      <c r="K945" s="6">
        <v>6.9081309220997344E-3</v>
      </c>
      <c r="L945" s="5">
        <v>599.18086816720256</v>
      </c>
      <c r="M945" s="5">
        <v>129.42122186495178</v>
      </c>
      <c r="N945" s="11">
        <v>754.96329046087885</v>
      </c>
      <c r="O945" s="13">
        <v>2024</v>
      </c>
    </row>
    <row r="946" spans="1:15" ht="14.5" customHeight="1" x14ac:dyDescent="0.35">
      <c r="A946" s="20" t="s">
        <v>1888</v>
      </c>
      <c r="B946" s="15" t="s">
        <v>234</v>
      </c>
      <c r="C946" s="15" t="s">
        <v>3108</v>
      </c>
      <c r="D946" s="16" t="s">
        <v>18</v>
      </c>
      <c r="E946" s="15" t="s">
        <v>173</v>
      </c>
      <c r="F946" s="15" t="s">
        <v>170</v>
      </c>
      <c r="G946" s="17" t="str">
        <f t="shared" si="14"/>
        <v>Small</v>
      </c>
      <c r="H946" s="3">
        <v>1009</v>
      </c>
      <c r="I946" s="4">
        <v>20.6</v>
      </c>
      <c r="J946" s="5">
        <v>342971.17343904858</v>
      </c>
      <c r="K946" s="6">
        <v>2.1936501645790996E-3</v>
      </c>
      <c r="L946" s="5">
        <v>1017.1061546085234</v>
      </c>
      <c r="M946" s="5">
        <v>0</v>
      </c>
      <c r="N946" s="11">
        <v>1131.5542715559961</v>
      </c>
      <c r="O946" s="13">
        <v>2024</v>
      </c>
    </row>
    <row r="947" spans="1:15" ht="14.5" customHeight="1" x14ac:dyDescent="0.35">
      <c r="A947" s="20" t="s">
        <v>1889</v>
      </c>
      <c r="B947" s="15" t="s">
        <v>1890</v>
      </c>
      <c r="C947" s="15" t="s">
        <v>3108</v>
      </c>
      <c r="D947" s="16" t="s">
        <v>46</v>
      </c>
      <c r="E947" s="15" t="s">
        <v>214</v>
      </c>
      <c r="F947" s="15" t="s">
        <v>170</v>
      </c>
      <c r="G947" s="17" t="str">
        <f t="shared" si="14"/>
        <v>Small</v>
      </c>
      <c r="H947" s="3">
        <v>1797</v>
      </c>
      <c r="I947" s="4">
        <v>452.3</v>
      </c>
      <c r="J947" s="5">
        <v>1408142.0662214803</v>
      </c>
      <c r="K947" s="6">
        <v>1.6805526519387695E-3</v>
      </c>
      <c r="L947" s="5">
        <v>3515.3258430717865</v>
      </c>
      <c r="M947" s="5">
        <v>2357.7554257095157</v>
      </c>
      <c r="N947" s="11">
        <v>7378.7026377295497</v>
      </c>
      <c r="O947" s="13">
        <v>2024</v>
      </c>
    </row>
    <row r="948" spans="1:15" ht="14.5" customHeight="1" x14ac:dyDescent="0.35">
      <c r="A948" s="20" t="s">
        <v>1891</v>
      </c>
      <c r="B948" s="15" t="s">
        <v>1892</v>
      </c>
      <c r="C948" s="15" t="s">
        <v>3108</v>
      </c>
      <c r="D948" s="16" t="s">
        <v>79</v>
      </c>
      <c r="E948" s="15" t="s">
        <v>178</v>
      </c>
      <c r="F948" s="15" t="s">
        <v>170</v>
      </c>
      <c r="G948" s="17" t="str">
        <f t="shared" si="14"/>
        <v>Medium</v>
      </c>
      <c r="H948" s="3">
        <v>45327</v>
      </c>
      <c r="I948" s="4">
        <v>33.5</v>
      </c>
      <c r="J948" s="5">
        <v>120156.8129150396</v>
      </c>
      <c r="K948" s="6">
        <v>3.10703198511948E-3</v>
      </c>
      <c r="L948" s="5">
        <v>647.72738103117342</v>
      </c>
      <c r="M948" s="5">
        <v>1770.9840271802677</v>
      </c>
      <c r="N948" s="11">
        <v>1902.9627153793544</v>
      </c>
      <c r="O948" s="13">
        <v>2024</v>
      </c>
    </row>
    <row r="949" spans="1:15" ht="14.5" customHeight="1" x14ac:dyDescent="0.35">
      <c r="A949" s="20" t="s">
        <v>1893</v>
      </c>
      <c r="B949" s="15" t="s">
        <v>1894</v>
      </c>
      <c r="C949" s="15" t="s">
        <v>3108</v>
      </c>
      <c r="D949" s="16" t="s">
        <v>240</v>
      </c>
      <c r="E949" s="15" t="s">
        <v>214</v>
      </c>
      <c r="F949" s="15" t="s">
        <v>170</v>
      </c>
      <c r="G949" s="17" t="str">
        <f t="shared" si="14"/>
        <v>Small</v>
      </c>
      <c r="H949" s="3">
        <v>683</v>
      </c>
      <c r="I949" s="4">
        <v>176.8</v>
      </c>
      <c r="J949" s="5">
        <v>518570.4260614934</v>
      </c>
      <c r="K949" s="6">
        <v>5.5130643950960338E-3</v>
      </c>
      <c r="L949" s="5">
        <v>2860.6728111273792</v>
      </c>
      <c r="M949" s="5">
        <v>1339.6778916544656</v>
      </c>
      <c r="N949" s="11">
        <v>3545.3331625183014</v>
      </c>
      <c r="O949" s="13">
        <v>2024</v>
      </c>
    </row>
    <row r="950" spans="1:15" ht="14.5" customHeight="1" x14ac:dyDescent="0.35">
      <c r="A950" s="20" t="s">
        <v>1895</v>
      </c>
      <c r="B950" s="15" t="s">
        <v>1896</v>
      </c>
      <c r="C950" s="15" t="s">
        <v>3108</v>
      </c>
      <c r="D950" s="16" t="s">
        <v>193</v>
      </c>
      <c r="E950" s="15" t="s">
        <v>186</v>
      </c>
      <c r="F950" s="15" t="s">
        <v>170</v>
      </c>
      <c r="G950" s="17" t="str">
        <f t="shared" si="14"/>
        <v>Small</v>
      </c>
      <c r="H950" s="3">
        <v>7064</v>
      </c>
      <c r="I950" s="4">
        <v>36.700000000000003</v>
      </c>
      <c r="J950" s="5">
        <v>46826.771375990938</v>
      </c>
      <c r="K950" s="6">
        <v>5.3913412151440207E-3</v>
      </c>
      <c r="L950" s="5">
        <v>265.94111126840323</v>
      </c>
      <c r="M950" s="5">
        <v>12.740656851642129</v>
      </c>
      <c r="N950" s="11">
        <v>479.89284541336355</v>
      </c>
      <c r="O950" s="13">
        <v>2024</v>
      </c>
    </row>
    <row r="951" spans="1:15" ht="14.5" customHeight="1" x14ac:dyDescent="0.35">
      <c r="A951" s="20" t="s">
        <v>1897</v>
      </c>
      <c r="B951" s="15" t="s">
        <v>1898</v>
      </c>
      <c r="C951" s="15" t="s">
        <v>3108</v>
      </c>
      <c r="D951" s="16" t="s">
        <v>193</v>
      </c>
      <c r="E951" s="15" t="s">
        <v>186</v>
      </c>
      <c r="F951" s="15" t="s">
        <v>170</v>
      </c>
      <c r="G951" s="17" t="str">
        <f t="shared" si="14"/>
        <v>Small</v>
      </c>
      <c r="H951" s="3">
        <v>274</v>
      </c>
      <c r="I951" s="4">
        <v>36</v>
      </c>
      <c r="J951" s="5">
        <v>159748.25547445254</v>
      </c>
      <c r="K951" s="6">
        <v>5.3746289040269611E-3</v>
      </c>
      <c r="L951" s="5">
        <v>880.12773722627742</v>
      </c>
      <c r="M951" s="5">
        <v>437.95620437956205</v>
      </c>
      <c r="N951" s="11">
        <v>2190.2262773722628</v>
      </c>
      <c r="O951" s="13">
        <v>2024</v>
      </c>
    </row>
    <row r="952" spans="1:15" ht="14.5" customHeight="1" x14ac:dyDescent="0.35">
      <c r="A952" s="20" t="s">
        <v>1899</v>
      </c>
      <c r="B952" s="15" t="s">
        <v>1900</v>
      </c>
      <c r="C952" s="15" t="s">
        <v>3108</v>
      </c>
      <c r="D952" s="16" t="s">
        <v>15</v>
      </c>
      <c r="E952" s="15" t="s">
        <v>178</v>
      </c>
      <c r="F952" s="15" t="s">
        <v>170</v>
      </c>
      <c r="G952" s="17" t="str">
        <f t="shared" si="14"/>
        <v>Small</v>
      </c>
      <c r="H952" s="3">
        <v>2740</v>
      </c>
      <c r="I952" s="4">
        <v>25.5</v>
      </c>
      <c r="J952" s="5">
        <v>93080.227007299269</v>
      </c>
      <c r="K952" s="6">
        <v>3.1114144598171811E-3</v>
      </c>
      <c r="L952" s="5">
        <v>649.94996715328466</v>
      </c>
      <c r="M952" s="5">
        <v>145.50466423357665</v>
      </c>
      <c r="N952" s="11">
        <v>811.00754379562045</v>
      </c>
      <c r="O952" s="13">
        <v>2024</v>
      </c>
    </row>
    <row r="953" spans="1:15" ht="14.5" customHeight="1" x14ac:dyDescent="0.35">
      <c r="A953" s="20" t="s">
        <v>1901</v>
      </c>
      <c r="B953" s="15" t="s">
        <v>1902</v>
      </c>
      <c r="C953" s="15" t="s">
        <v>3108</v>
      </c>
      <c r="D953" s="16" t="s">
        <v>26</v>
      </c>
      <c r="E953" s="15" t="s">
        <v>183</v>
      </c>
      <c r="F953" s="15" t="s">
        <v>170</v>
      </c>
      <c r="G953" s="17" t="str">
        <f t="shared" si="14"/>
        <v>Small</v>
      </c>
      <c r="H953" s="3">
        <v>4088</v>
      </c>
      <c r="I953" s="4">
        <v>33.799999999999997</v>
      </c>
      <c r="J953" s="5">
        <v>72849.466976516633</v>
      </c>
      <c r="K953" s="6">
        <v>6.5566066336273056E-3</v>
      </c>
      <c r="L953" s="5">
        <v>560.86982876712329</v>
      </c>
      <c r="M953" s="5">
        <v>1728.6908023483365</v>
      </c>
      <c r="N953" s="11">
        <v>705.00817025440313</v>
      </c>
      <c r="O953" s="13">
        <v>2024</v>
      </c>
    </row>
    <row r="954" spans="1:15" ht="14.5" customHeight="1" x14ac:dyDescent="0.35">
      <c r="A954" s="20" t="s">
        <v>1903</v>
      </c>
      <c r="B954" s="15" t="s">
        <v>1904</v>
      </c>
      <c r="C954" s="15" t="s">
        <v>3108</v>
      </c>
      <c r="D954" s="16" t="s">
        <v>13</v>
      </c>
      <c r="E954" s="15" t="s">
        <v>186</v>
      </c>
      <c r="F954" s="15" t="s">
        <v>170</v>
      </c>
      <c r="G954" s="17" t="str">
        <f t="shared" si="14"/>
        <v>Medium</v>
      </c>
      <c r="H954" s="3">
        <v>45500</v>
      </c>
      <c r="I954" s="4">
        <v>21.4</v>
      </c>
      <c r="J954" s="5">
        <v>107580.164</v>
      </c>
      <c r="K954" s="6">
        <v>7.7397735691322224E-3</v>
      </c>
      <c r="L954" s="5">
        <v>1032.7225494505494</v>
      </c>
      <c r="M954" s="5">
        <v>1336.7749230769232</v>
      </c>
      <c r="N954" s="11">
        <v>1594.1237362637362</v>
      </c>
      <c r="O954" s="13">
        <v>2024</v>
      </c>
    </row>
    <row r="955" spans="1:15" ht="14.5" customHeight="1" x14ac:dyDescent="0.35">
      <c r="A955" s="20" t="s">
        <v>1905</v>
      </c>
      <c r="B955" s="15" t="s">
        <v>1906</v>
      </c>
      <c r="C955" s="15" t="s">
        <v>3108</v>
      </c>
      <c r="D955" s="16" t="s">
        <v>269</v>
      </c>
      <c r="E955" s="15" t="s">
        <v>178</v>
      </c>
      <c r="F955" s="15" t="s">
        <v>170</v>
      </c>
      <c r="G955" s="17" t="str">
        <f t="shared" si="14"/>
        <v>Small</v>
      </c>
      <c r="H955" s="3">
        <v>1156</v>
      </c>
      <c r="I955" s="4">
        <v>33.5</v>
      </c>
      <c r="J955" s="5">
        <v>81822.574394463663</v>
      </c>
      <c r="K955" s="6">
        <v>9.1190432974986302E-3</v>
      </c>
      <c r="L955" s="5">
        <v>769.57179930795849</v>
      </c>
      <c r="M955" s="5">
        <v>175.2006920415225</v>
      </c>
      <c r="N955" s="11">
        <v>1388.5155709342559</v>
      </c>
      <c r="O955" s="13">
        <v>2024</v>
      </c>
    </row>
    <row r="956" spans="1:15" ht="14.5" customHeight="1" x14ac:dyDescent="0.35">
      <c r="A956" s="20" t="s">
        <v>1907</v>
      </c>
      <c r="B956" s="15" t="s">
        <v>1908</v>
      </c>
      <c r="C956" s="15" t="s">
        <v>3108</v>
      </c>
      <c r="D956" s="16" t="s">
        <v>597</v>
      </c>
      <c r="E956" s="15" t="s">
        <v>169</v>
      </c>
      <c r="F956" s="15" t="s">
        <v>170</v>
      </c>
      <c r="G956" s="17" t="str">
        <f t="shared" si="14"/>
        <v>Small</v>
      </c>
      <c r="H956" s="3">
        <v>1692</v>
      </c>
      <c r="I956" s="4">
        <v>102.1</v>
      </c>
      <c r="J956" s="5">
        <v>107884.09692671394</v>
      </c>
      <c r="K956" s="6">
        <v>4.3371998927226275E-3</v>
      </c>
      <c r="L956" s="5">
        <v>475.61841016548465</v>
      </c>
      <c r="M956" s="5">
        <v>124.5001182033097</v>
      </c>
      <c r="N956" s="11">
        <v>880.78893026004732</v>
      </c>
      <c r="O956" s="13">
        <v>2024</v>
      </c>
    </row>
    <row r="957" spans="1:15" ht="14.5" customHeight="1" x14ac:dyDescent="0.35">
      <c r="A957" s="20" t="s">
        <v>1909</v>
      </c>
      <c r="B957" s="15" t="s">
        <v>1910</v>
      </c>
      <c r="C957" s="15" t="s">
        <v>3108</v>
      </c>
      <c r="D957" s="16" t="s">
        <v>18</v>
      </c>
      <c r="E957" s="15" t="s">
        <v>173</v>
      </c>
      <c r="F957" s="15" t="s">
        <v>170</v>
      </c>
      <c r="G957" s="17" t="str">
        <f t="shared" si="14"/>
        <v>Small</v>
      </c>
      <c r="H957" s="3">
        <v>343</v>
      </c>
      <c r="I957" s="4">
        <v>40.9</v>
      </c>
      <c r="J957" s="5">
        <v>168033.75510204083</v>
      </c>
      <c r="K957" s="6" t="s">
        <v>27</v>
      </c>
      <c r="L957" s="5">
        <v>0</v>
      </c>
      <c r="M957" s="5">
        <v>0</v>
      </c>
      <c r="N957" s="11">
        <v>0</v>
      </c>
      <c r="O957" s="13">
        <v>2024</v>
      </c>
    </row>
    <row r="958" spans="1:15" ht="14.5" customHeight="1" x14ac:dyDescent="0.35">
      <c r="A958" s="20" t="s">
        <v>1911</v>
      </c>
      <c r="B958" s="15" t="s">
        <v>1912</v>
      </c>
      <c r="C958" s="15" t="s">
        <v>3108</v>
      </c>
      <c r="D958" s="16" t="s">
        <v>1</v>
      </c>
      <c r="E958" s="15" t="s">
        <v>217</v>
      </c>
      <c r="F958" s="15" t="s">
        <v>170</v>
      </c>
      <c r="G958" s="17" t="str">
        <f t="shared" si="14"/>
        <v>Small</v>
      </c>
      <c r="H958" s="3">
        <v>3194</v>
      </c>
      <c r="I958" s="4">
        <v>57.8</v>
      </c>
      <c r="J958" s="5">
        <v>138395.47777082029</v>
      </c>
      <c r="K958" s="6">
        <v>3.6012520234929009E-3</v>
      </c>
      <c r="L958" s="5">
        <v>942.29555416405765</v>
      </c>
      <c r="M958" s="5">
        <v>133.67971195992487</v>
      </c>
      <c r="N958" s="11">
        <v>1096.3365685660613</v>
      </c>
      <c r="O958" s="13">
        <v>2024</v>
      </c>
    </row>
    <row r="959" spans="1:15" ht="14.5" customHeight="1" x14ac:dyDescent="0.35">
      <c r="A959" s="20" t="s">
        <v>1913</v>
      </c>
      <c r="B959" s="15" t="s">
        <v>1914</v>
      </c>
      <c r="C959" s="15" t="s">
        <v>3108</v>
      </c>
      <c r="D959" s="16" t="s">
        <v>81</v>
      </c>
      <c r="E959" s="15" t="s">
        <v>214</v>
      </c>
      <c r="F959" s="15" t="s">
        <v>170</v>
      </c>
      <c r="G959" s="17" t="str">
        <f t="shared" si="14"/>
        <v>Small</v>
      </c>
      <c r="H959" s="3">
        <v>1831</v>
      </c>
      <c r="I959" s="4">
        <v>51.2</v>
      </c>
      <c r="J959" s="5">
        <v>113934.48771163299</v>
      </c>
      <c r="K959" s="6">
        <v>2.6660956344900398E-3</v>
      </c>
      <c r="L959" s="5">
        <v>729.51080283997817</v>
      </c>
      <c r="M959" s="5">
        <v>0</v>
      </c>
      <c r="N959" s="11">
        <v>922.45023484434728</v>
      </c>
      <c r="O959" s="13">
        <v>2024</v>
      </c>
    </row>
    <row r="960" spans="1:15" ht="14.5" customHeight="1" x14ac:dyDescent="0.35">
      <c r="A960" s="20" t="s">
        <v>1915</v>
      </c>
      <c r="B960" s="15" t="s">
        <v>1916</v>
      </c>
      <c r="C960" s="15" t="s">
        <v>3108</v>
      </c>
      <c r="D960" s="16" t="s">
        <v>22</v>
      </c>
      <c r="E960" s="15" t="s">
        <v>186</v>
      </c>
      <c r="F960" s="15" t="s">
        <v>170</v>
      </c>
      <c r="G960" s="17" t="str">
        <f t="shared" ref="G960:G995" si="15">IF(H960&lt;=10000,"Small",(IF(H960&lt;=100000,"Medium",IF(H960&gt;100000,"Large"))))</f>
        <v>Small</v>
      </c>
      <c r="H960" s="3">
        <v>4553</v>
      </c>
      <c r="I960" s="4">
        <v>47.2</v>
      </c>
      <c r="J960" s="5">
        <v>92281.663079288381</v>
      </c>
      <c r="K960" s="6">
        <v>2.1089664628682957E-3</v>
      </c>
      <c r="L960" s="5">
        <v>332.61513507577422</v>
      </c>
      <c r="M960" s="5">
        <v>188.88644849549746</v>
      </c>
      <c r="N960" s="11">
        <v>513.37069404788053</v>
      </c>
      <c r="O960" s="13">
        <v>2024</v>
      </c>
    </row>
    <row r="961" spans="1:15" ht="14.5" customHeight="1" x14ac:dyDescent="0.35">
      <c r="A961" s="20" t="s">
        <v>1917</v>
      </c>
      <c r="B961" s="15" t="s">
        <v>1918</v>
      </c>
      <c r="C961" s="15" t="s">
        <v>3108</v>
      </c>
      <c r="D961" s="16" t="s">
        <v>69</v>
      </c>
      <c r="E961" s="15" t="s">
        <v>173</v>
      </c>
      <c r="F961" s="15" t="s">
        <v>170</v>
      </c>
      <c r="G961" s="17" t="str">
        <f t="shared" si="15"/>
        <v>Small</v>
      </c>
      <c r="H961" s="3">
        <v>804</v>
      </c>
      <c r="I961" s="4">
        <v>33.9</v>
      </c>
      <c r="J961" s="5">
        <v>119305.8868159204</v>
      </c>
      <c r="K961" s="6">
        <v>4.2232781109613378E-3</v>
      </c>
      <c r="L961" s="5">
        <v>652.469315920398</v>
      </c>
      <c r="M961" s="5">
        <v>0</v>
      </c>
      <c r="N961" s="11">
        <v>1169.3612437810943</v>
      </c>
      <c r="O961" s="13">
        <v>2024</v>
      </c>
    </row>
    <row r="962" spans="1:15" ht="14.5" customHeight="1" x14ac:dyDescent="0.35">
      <c r="A962" s="20" t="s">
        <v>1919</v>
      </c>
      <c r="B962" s="15" t="s">
        <v>1920</v>
      </c>
      <c r="C962" s="15" t="s">
        <v>3108</v>
      </c>
      <c r="D962" s="16" t="s">
        <v>81</v>
      </c>
      <c r="E962" s="15" t="s">
        <v>214</v>
      </c>
      <c r="F962" s="15" t="s">
        <v>170</v>
      </c>
      <c r="G962" s="17" t="str">
        <f t="shared" si="15"/>
        <v>Small</v>
      </c>
      <c r="H962" s="3">
        <v>5924</v>
      </c>
      <c r="I962" s="4">
        <v>43.1</v>
      </c>
      <c r="J962" s="5">
        <v>99042.25810263335</v>
      </c>
      <c r="K962" s="6">
        <v>5.2542383145142504E-5</v>
      </c>
      <c r="L962" s="5">
        <v>403.40030722484812</v>
      </c>
      <c r="M962" s="5">
        <v>132.51181634031059</v>
      </c>
      <c r="N962" s="11">
        <v>494.69035786630656</v>
      </c>
      <c r="O962" s="13">
        <v>2024</v>
      </c>
    </row>
    <row r="963" spans="1:15" ht="14.5" customHeight="1" x14ac:dyDescent="0.35">
      <c r="A963" s="20" t="s">
        <v>1921</v>
      </c>
      <c r="B963" s="15" t="s">
        <v>1922</v>
      </c>
      <c r="C963" s="15" t="s">
        <v>3108</v>
      </c>
      <c r="D963" s="16" t="s">
        <v>496</v>
      </c>
      <c r="E963" s="15" t="s">
        <v>169</v>
      </c>
      <c r="F963" s="15" t="s">
        <v>170</v>
      </c>
      <c r="G963" s="17" t="str">
        <f t="shared" si="15"/>
        <v>Small</v>
      </c>
      <c r="H963" s="3">
        <v>1320</v>
      </c>
      <c r="I963" s="4">
        <v>58.2</v>
      </c>
      <c r="J963" s="5">
        <v>234386.27424242423</v>
      </c>
      <c r="K963" s="6">
        <v>3.505725503977535E-3</v>
      </c>
      <c r="L963" s="5">
        <v>924.78415151515162</v>
      </c>
      <c r="M963" s="5">
        <v>2581.7963484848487</v>
      </c>
      <c r="N963" s="11">
        <v>2389.4263863636365</v>
      </c>
      <c r="O963" s="13">
        <v>2024</v>
      </c>
    </row>
    <row r="964" spans="1:15" ht="14.5" customHeight="1" x14ac:dyDescent="0.35">
      <c r="A964" s="20" t="s">
        <v>1923</v>
      </c>
      <c r="B964" s="15" t="s">
        <v>1924</v>
      </c>
      <c r="C964" s="15" t="s">
        <v>3108</v>
      </c>
      <c r="D964" s="16" t="s">
        <v>282</v>
      </c>
      <c r="E964" s="15" t="s">
        <v>169</v>
      </c>
      <c r="F964" s="15" t="s">
        <v>170</v>
      </c>
      <c r="G964" s="17" t="str">
        <f t="shared" si="15"/>
        <v>Small</v>
      </c>
      <c r="H964" s="3">
        <v>1757</v>
      </c>
      <c r="I964" s="4">
        <v>34.799999999999997</v>
      </c>
      <c r="J964" s="5">
        <v>57690.903813318153</v>
      </c>
      <c r="K964" s="6">
        <v>5.211965188294994E-3</v>
      </c>
      <c r="L964" s="5">
        <v>301.66873079112122</v>
      </c>
      <c r="M964" s="5">
        <v>24.998212862834379</v>
      </c>
      <c r="N964" s="11">
        <v>713.52811041548091</v>
      </c>
      <c r="O964" s="13">
        <v>2024</v>
      </c>
    </row>
    <row r="965" spans="1:15" ht="14.5" customHeight="1" x14ac:dyDescent="0.35">
      <c r="A965" s="20" t="s">
        <v>1925</v>
      </c>
      <c r="B965" s="15" t="s">
        <v>1926</v>
      </c>
      <c r="C965" s="15" t="s">
        <v>3108</v>
      </c>
      <c r="D965" s="16" t="s">
        <v>231</v>
      </c>
      <c r="E965" s="15" t="s">
        <v>178</v>
      </c>
      <c r="F965" s="15" t="s">
        <v>170</v>
      </c>
      <c r="G965" s="17" t="str">
        <f t="shared" si="15"/>
        <v>Small</v>
      </c>
      <c r="H965" s="3">
        <v>755</v>
      </c>
      <c r="I965" s="4">
        <v>35.799999999999997</v>
      </c>
      <c r="J965" s="5">
        <v>116374.81589403974</v>
      </c>
      <c r="K965" s="6">
        <v>2.3394828625560252E-3</v>
      </c>
      <c r="L965" s="5">
        <v>1198.8021589403975</v>
      </c>
      <c r="M965" s="5">
        <v>285.39470198675497</v>
      </c>
      <c r="N965" s="11">
        <v>1687.3634569536423</v>
      </c>
      <c r="O965" s="13">
        <v>2024</v>
      </c>
    </row>
    <row r="966" spans="1:15" ht="14.5" customHeight="1" x14ac:dyDescent="0.35">
      <c r="A966" s="20" t="s">
        <v>1927</v>
      </c>
      <c r="B966" s="15" t="s">
        <v>1928</v>
      </c>
      <c r="C966" s="15" t="s">
        <v>3108</v>
      </c>
      <c r="D966" s="16" t="s">
        <v>48</v>
      </c>
      <c r="E966" s="15" t="s">
        <v>186</v>
      </c>
      <c r="F966" s="15" t="s">
        <v>170</v>
      </c>
      <c r="G966" s="17" t="str">
        <f t="shared" si="15"/>
        <v>Medium</v>
      </c>
      <c r="H966" s="3">
        <v>18638</v>
      </c>
      <c r="I966" s="4">
        <v>27.9</v>
      </c>
      <c r="J966" s="5">
        <v>122479.65151840326</v>
      </c>
      <c r="K966" s="6">
        <v>1.8295216072571332E-3</v>
      </c>
      <c r="L966" s="5">
        <v>594.76819830453917</v>
      </c>
      <c r="M966" s="5">
        <v>87.021504989805777</v>
      </c>
      <c r="N966" s="11">
        <v>813.39257913939264</v>
      </c>
      <c r="O966" s="13">
        <v>2024</v>
      </c>
    </row>
    <row r="967" spans="1:15" ht="14.5" customHeight="1" x14ac:dyDescent="0.35">
      <c r="A967" s="20" t="s">
        <v>1929</v>
      </c>
      <c r="B967" s="15" t="s">
        <v>1930</v>
      </c>
      <c r="C967" s="15" t="s">
        <v>3108</v>
      </c>
      <c r="D967" s="16" t="s">
        <v>79</v>
      </c>
      <c r="E967" s="15" t="s">
        <v>178</v>
      </c>
      <c r="F967" s="15" t="s">
        <v>170</v>
      </c>
      <c r="G967" s="17" t="str">
        <f t="shared" si="15"/>
        <v>Small</v>
      </c>
      <c r="H967" s="3">
        <v>4897</v>
      </c>
      <c r="I967" s="4">
        <v>30.4</v>
      </c>
      <c r="J967" s="5">
        <v>97446.880130692254</v>
      </c>
      <c r="K967" s="6">
        <v>5.9120177007177654E-3</v>
      </c>
      <c r="L967" s="5">
        <v>686.0108413314274</v>
      </c>
      <c r="M967" s="5">
        <v>114.3557279967327</v>
      </c>
      <c r="N967" s="11">
        <v>795.87613641004691</v>
      </c>
      <c r="O967" s="13">
        <v>2024</v>
      </c>
    </row>
    <row r="968" spans="1:15" ht="14.5" customHeight="1" x14ac:dyDescent="0.35">
      <c r="A968" s="20" t="s">
        <v>1931</v>
      </c>
      <c r="B968" s="15" t="s">
        <v>1932</v>
      </c>
      <c r="C968" s="15" t="s">
        <v>3108</v>
      </c>
      <c r="D968" s="16" t="s">
        <v>18</v>
      </c>
      <c r="E968" s="15" t="s">
        <v>173</v>
      </c>
      <c r="F968" s="15" t="s">
        <v>170</v>
      </c>
      <c r="G968" s="17" t="str">
        <f t="shared" si="15"/>
        <v>Small</v>
      </c>
      <c r="H968" s="3">
        <v>1136</v>
      </c>
      <c r="I968" s="4">
        <v>46.1</v>
      </c>
      <c r="J968" s="5">
        <v>75212.706866197186</v>
      </c>
      <c r="K968" s="6">
        <v>7.1708482638470107E-3</v>
      </c>
      <c r="L968" s="5">
        <v>783.60103873239439</v>
      </c>
      <c r="M968" s="5">
        <v>39.340915492957748</v>
      </c>
      <c r="N968" s="11">
        <v>1036.0544718309859</v>
      </c>
      <c r="O968" s="13">
        <v>2024</v>
      </c>
    </row>
    <row r="969" spans="1:15" ht="14.5" customHeight="1" x14ac:dyDescent="0.35">
      <c r="A969" s="20" t="s">
        <v>1933</v>
      </c>
      <c r="B969" s="15" t="s">
        <v>1934</v>
      </c>
      <c r="C969" s="15" t="s">
        <v>3108</v>
      </c>
      <c r="D969" s="16" t="s">
        <v>237</v>
      </c>
      <c r="E969" s="15" t="s">
        <v>217</v>
      </c>
      <c r="F969" s="15" t="s">
        <v>170</v>
      </c>
      <c r="G969" s="17" t="str">
        <f t="shared" si="15"/>
        <v>Small</v>
      </c>
      <c r="H969" s="3">
        <v>3275</v>
      </c>
      <c r="I969" s="4">
        <v>47.9</v>
      </c>
      <c r="J969" s="5">
        <v>84990.568854961835</v>
      </c>
      <c r="K969" s="6" t="s">
        <v>27</v>
      </c>
      <c r="L969" s="5">
        <v>0</v>
      </c>
      <c r="M969" s="5">
        <v>0</v>
      </c>
      <c r="N969" s="11">
        <v>0</v>
      </c>
      <c r="O969" s="13">
        <v>2024</v>
      </c>
    </row>
    <row r="970" spans="1:15" ht="14.5" customHeight="1" x14ac:dyDescent="0.35">
      <c r="A970" s="20" t="s">
        <v>1935</v>
      </c>
      <c r="B970" s="15" t="s">
        <v>1936</v>
      </c>
      <c r="C970" s="15" t="s">
        <v>3108</v>
      </c>
      <c r="D970" s="16" t="s">
        <v>237</v>
      </c>
      <c r="E970" s="15" t="s">
        <v>217</v>
      </c>
      <c r="F970" s="15" t="s">
        <v>170</v>
      </c>
      <c r="G970" s="17" t="str">
        <f t="shared" si="15"/>
        <v>Small</v>
      </c>
      <c r="H970" s="3">
        <v>4023</v>
      </c>
      <c r="I970" s="4">
        <v>57.2</v>
      </c>
      <c r="J970" s="5">
        <v>61878.687795177728</v>
      </c>
      <c r="K970" s="6">
        <v>3.9385797009882312E-3</v>
      </c>
      <c r="L970" s="5">
        <v>261.68159582401194</v>
      </c>
      <c r="M970" s="5">
        <v>0</v>
      </c>
      <c r="N970" s="11">
        <v>340.83360178970918</v>
      </c>
      <c r="O970" s="13">
        <v>2024</v>
      </c>
    </row>
    <row r="971" spans="1:15" ht="14.5" customHeight="1" x14ac:dyDescent="0.35">
      <c r="A971" s="20" t="s">
        <v>1937</v>
      </c>
      <c r="B971" s="15" t="s">
        <v>1938</v>
      </c>
      <c r="C971" s="15" t="s">
        <v>3108</v>
      </c>
      <c r="D971" s="16" t="s">
        <v>81</v>
      </c>
      <c r="E971" s="15" t="s">
        <v>214</v>
      </c>
      <c r="F971" s="15" t="s">
        <v>170</v>
      </c>
      <c r="G971" s="17" t="str">
        <f t="shared" si="15"/>
        <v>Medium</v>
      </c>
      <c r="H971" s="3">
        <v>18118</v>
      </c>
      <c r="I971" s="4">
        <v>27.3</v>
      </c>
      <c r="J971" s="5">
        <v>81125.765150678882</v>
      </c>
      <c r="K971" s="6">
        <v>2.6224908033366562E-3</v>
      </c>
      <c r="L971" s="5">
        <v>416.85734297383817</v>
      </c>
      <c r="M971" s="5">
        <v>31.736394745556904</v>
      </c>
      <c r="N971" s="11">
        <v>509.54392979357544</v>
      </c>
      <c r="O971" s="13">
        <v>2024</v>
      </c>
    </row>
    <row r="972" spans="1:15" ht="14.5" customHeight="1" x14ac:dyDescent="0.35">
      <c r="A972" s="20" t="s">
        <v>1939</v>
      </c>
      <c r="B972" s="15" t="s">
        <v>1940</v>
      </c>
      <c r="C972" s="15" t="s">
        <v>3108</v>
      </c>
      <c r="D972" s="16" t="s">
        <v>20</v>
      </c>
      <c r="E972" s="15" t="s">
        <v>183</v>
      </c>
      <c r="F972" s="15" t="s">
        <v>170</v>
      </c>
      <c r="G972" s="17" t="str">
        <f t="shared" si="15"/>
        <v>Small</v>
      </c>
      <c r="H972" s="3">
        <v>894</v>
      </c>
      <c r="I972" s="4">
        <v>25.7</v>
      </c>
      <c r="J972" s="5">
        <v>77574.174496644293</v>
      </c>
      <c r="K972" s="6">
        <v>3.3314149846220649E-3</v>
      </c>
      <c r="L972" s="5">
        <v>583.66470917225956</v>
      </c>
      <c r="M972" s="5">
        <v>167.78523489932886</v>
      </c>
      <c r="N972" s="11">
        <v>985.65266219239368</v>
      </c>
      <c r="O972" s="13">
        <v>2024</v>
      </c>
    </row>
    <row r="973" spans="1:15" ht="14.5" customHeight="1" x14ac:dyDescent="0.35">
      <c r="A973" s="20" t="s">
        <v>1941</v>
      </c>
      <c r="B973" s="15" t="s">
        <v>1942</v>
      </c>
      <c r="C973" s="15" t="s">
        <v>3108</v>
      </c>
      <c r="D973" s="16" t="s">
        <v>234</v>
      </c>
      <c r="E973" s="15" t="s">
        <v>178</v>
      </c>
      <c r="F973" s="15" t="s">
        <v>170</v>
      </c>
      <c r="G973" s="17" t="str">
        <f t="shared" si="15"/>
        <v>Small</v>
      </c>
      <c r="H973" s="3">
        <v>6860</v>
      </c>
      <c r="I973" s="4">
        <v>34.6</v>
      </c>
      <c r="J973" s="5">
        <v>91847.286880466476</v>
      </c>
      <c r="K973" s="6">
        <v>2.67603537643043E-3</v>
      </c>
      <c r="L973" s="5">
        <v>498.12609329446065</v>
      </c>
      <c r="M973" s="5">
        <v>1053.206997084548</v>
      </c>
      <c r="N973" s="11">
        <v>1132.661807580175</v>
      </c>
      <c r="O973" s="13">
        <v>2024</v>
      </c>
    </row>
    <row r="974" spans="1:15" ht="14.5" customHeight="1" x14ac:dyDescent="0.35">
      <c r="A974" s="20" t="s">
        <v>1943</v>
      </c>
      <c r="B974" s="15" t="s">
        <v>1944</v>
      </c>
      <c r="C974" s="15" t="s">
        <v>3108</v>
      </c>
      <c r="D974" s="16" t="s">
        <v>26</v>
      </c>
      <c r="E974" s="15" t="s">
        <v>183</v>
      </c>
      <c r="F974" s="15" t="s">
        <v>170</v>
      </c>
      <c r="G974" s="17" t="str">
        <f t="shared" si="15"/>
        <v>Small</v>
      </c>
      <c r="H974" s="3">
        <v>1335</v>
      </c>
      <c r="I974" s="4">
        <v>38.700000000000003</v>
      </c>
      <c r="J974" s="5">
        <v>81686.474906367046</v>
      </c>
      <c r="K974" s="6" t="s">
        <v>27</v>
      </c>
      <c r="L974" s="5">
        <v>0</v>
      </c>
      <c r="M974" s="5">
        <v>0</v>
      </c>
      <c r="N974" s="11">
        <v>0</v>
      </c>
      <c r="O974" s="13">
        <v>2024</v>
      </c>
    </row>
    <row r="975" spans="1:15" ht="14.5" customHeight="1" x14ac:dyDescent="0.35">
      <c r="A975" s="20" t="s">
        <v>1945</v>
      </c>
      <c r="B975" s="15" t="s">
        <v>1946</v>
      </c>
      <c r="C975" s="15" t="s">
        <v>3108</v>
      </c>
      <c r="D975" s="16" t="s">
        <v>193</v>
      </c>
      <c r="E975" s="15" t="s">
        <v>186</v>
      </c>
      <c r="F975" s="15" t="s">
        <v>170</v>
      </c>
      <c r="G975" s="17" t="str">
        <f t="shared" si="15"/>
        <v>Small</v>
      </c>
      <c r="H975" s="3">
        <v>1281</v>
      </c>
      <c r="I975" s="4">
        <v>36.200000000000003</v>
      </c>
      <c r="J975" s="5">
        <v>108309.93442622951</v>
      </c>
      <c r="K975" s="6" t="s">
        <v>27</v>
      </c>
      <c r="L975" s="5">
        <v>0</v>
      </c>
      <c r="M975" s="5">
        <v>0</v>
      </c>
      <c r="N975" s="11">
        <v>0</v>
      </c>
      <c r="O975" s="13">
        <v>2024</v>
      </c>
    </row>
    <row r="976" spans="1:15" ht="14.5" customHeight="1" x14ac:dyDescent="0.35">
      <c r="A976" s="20" t="s">
        <v>1947</v>
      </c>
      <c r="B976" s="15" t="s">
        <v>1948</v>
      </c>
      <c r="C976" s="15" t="s">
        <v>3108</v>
      </c>
      <c r="D976" s="16" t="s">
        <v>496</v>
      </c>
      <c r="E976" s="15" t="s">
        <v>169</v>
      </c>
      <c r="F976" s="15" t="s">
        <v>170</v>
      </c>
      <c r="G976" s="17" t="str">
        <f t="shared" si="15"/>
        <v>Small</v>
      </c>
      <c r="H976" s="3">
        <v>1905</v>
      </c>
      <c r="I976" s="4">
        <v>42.7</v>
      </c>
      <c r="J976" s="5">
        <v>234867.15065616797</v>
      </c>
      <c r="K976" s="6" t="s">
        <v>27</v>
      </c>
      <c r="L976" s="5">
        <v>0</v>
      </c>
      <c r="M976" s="5">
        <v>0</v>
      </c>
      <c r="N976" s="11">
        <v>0</v>
      </c>
      <c r="O976" s="13">
        <v>2024</v>
      </c>
    </row>
    <row r="977" spans="1:15" ht="14.5" customHeight="1" x14ac:dyDescent="0.35">
      <c r="A977" s="20" t="s">
        <v>1949</v>
      </c>
      <c r="B977" s="15" t="s">
        <v>1950</v>
      </c>
      <c r="C977" s="15" t="s">
        <v>3108</v>
      </c>
      <c r="D977" s="16" t="s">
        <v>496</v>
      </c>
      <c r="E977" s="15" t="s">
        <v>169</v>
      </c>
      <c r="F977" s="15" t="s">
        <v>170</v>
      </c>
      <c r="G977" s="17" t="str">
        <f t="shared" si="15"/>
        <v>Small</v>
      </c>
      <c r="H977" s="3">
        <v>1139</v>
      </c>
      <c r="I977" s="4">
        <v>65.2</v>
      </c>
      <c r="J977" s="5">
        <v>340082.29675153643</v>
      </c>
      <c r="K977" s="6">
        <v>3.3976205150116328E-3</v>
      </c>
      <c r="L977" s="5">
        <v>1259.7221422300263</v>
      </c>
      <c r="M977" s="5">
        <v>3342.4606233538188</v>
      </c>
      <c r="N977" s="11">
        <v>2063.8577524143984</v>
      </c>
      <c r="O977" s="13">
        <v>2024</v>
      </c>
    </row>
    <row r="978" spans="1:15" ht="14.5" customHeight="1" x14ac:dyDescent="0.35">
      <c r="A978" s="20" t="s">
        <v>1951</v>
      </c>
      <c r="B978" s="15" t="s">
        <v>1952</v>
      </c>
      <c r="C978" s="15" t="s">
        <v>3108</v>
      </c>
      <c r="D978" s="16" t="s">
        <v>94</v>
      </c>
      <c r="E978" s="15" t="s">
        <v>169</v>
      </c>
      <c r="F978" s="15" t="s">
        <v>170</v>
      </c>
      <c r="G978" s="17" t="str">
        <f t="shared" si="15"/>
        <v>Small</v>
      </c>
      <c r="H978" s="3">
        <v>5732</v>
      </c>
      <c r="I978" s="4">
        <v>78.599999999999994</v>
      </c>
      <c r="J978" s="5">
        <v>56314.011339846475</v>
      </c>
      <c r="K978" s="6">
        <v>2.9991829442145906E-3</v>
      </c>
      <c r="L978" s="5">
        <v>256.41311060711791</v>
      </c>
      <c r="M978" s="5">
        <v>65.218771807397076</v>
      </c>
      <c r="N978" s="11">
        <v>423.87286985345429</v>
      </c>
      <c r="O978" s="13">
        <v>2024</v>
      </c>
    </row>
    <row r="979" spans="1:15" ht="14.5" customHeight="1" x14ac:dyDescent="0.35">
      <c r="A979" s="20" t="s">
        <v>1953</v>
      </c>
      <c r="B979" s="15" t="s">
        <v>1954</v>
      </c>
      <c r="C979" s="15" t="s">
        <v>3108</v>
      </c>
      <c r="D979" s="16" t="s">
        <v>48</v>
      </c>
      <c r="E979" s="15" t="s">
        <v>186</v>
      </c>
      <c r="F979" s="15" t="s">
        <v>170</v>
      </c>
      <c r="G979" s="17" t="str">
        <f t="shared" si="15"/>
        <v>Small</v>
      </c>
      <c r="H979" s="3">
        <v>5847</v>
      </c>
      <c r="I979" s="4">
        <v>49.4</v>
      </c>
      <c r="J979" s="5">
        <v>93044.528305113738</v>
      </c>
      <c r="K979" s="6">
        <v>2.5013466273415557E-3</v>
      </c>
      <c r="L979" s="5">
        <v>546.72703950743971</v>
      </c>
      <c r="M979" s="5">
        <v>0</v>
      </c>
      <c r="N979" s="11">
        <v>897.06721395587476</v>
      </c>
      <c r="O979" s="13">
        <v>2024</v>
      </c>
    </row>
    <row r="980" spans="1:15" ht="14.5" customHeight="1" x14ac:dyDescent="0.35">
      <c r="A980" s="20" t="s">
        <v>1955</v>
      </c>
      <c r="B980" s="15" t="s">
        <v>1956</v>
      </c>
      <c r="C980" s="15" t="s">
        <v>3108</v>
      </c>
      <c r="D980" s="16" t="s">
        <v>51</v>
      </c>
      <c r="E980" s="15" t="s">
        <v>217</v>
      </c>
      <c r="F980" s="15" t="s">
        <v>170</v>
      </c>
      <c r="G980" s="17" t="str">
        <f t="shared" si="15"/>
        <v>Medium</v>
      </c>
      <c r="H980" s="3">
        <v>17361</v>
      </c>
      <c r="I980" s="4">
        <v>35.799999999999997</v>
      </c>
      <c r="J980" s="5">
        <v>171494.42814354011</v>
      </c>
      <c r="K980" s="6">
        <v>2.3470452897532017E-4</v>
      </c>
      <c r="L980" s="5">
        <v>520.16243591958983</v>
      </c>
      <c r="M980" s="5">
        <v>0</v>
      </c>
      <c r="N980" s="11">
        <v>662.82672541904265</v>
      </c>
      <c r="O980" s="13">
        <v>2024</v>
      </c>
    </row>
    <row r="981" spans="1:15" ht="14.5" customHeight="1" x14ac:dyDescent="0.35">
      <c r="A981" s="20" t="s">
        <v>1957</v>
      </c>
      <c r="B981" s="15" t="s">
        <v>1958</v>
      </c>
      <c r="C981" s="15" t="s">
        <v>3108</v>
      </c>
      <c r="D981" s="16" t="s">
        <v>248</v>
      </c>
      <c r="E981" s="15" t="s">
        <v>217</v>
      </c>
      <c r="F981" s="15" t="s">
        <v>170</v>
      </c>
      <c r="G981" s="17" t="str">
        <f t="shared" si="15"/>
        <v>Small</v>
      </c>
      <c r="H981" s="3">
        <v>1708</v>
      </c>
      <c r="I981" s="4">
        <v>45.2</v>
      </c>
      <c r="J981" s="5">
        <v>763466.98419203749</v>
      </c>
      <c r="K981" s="6">
        <v>2.1103010770901587E-3</v>
      </c>
      <c r="L981" s="5">
        <v>1754.2886416861827</v>
      </c>
      <c r="M981" s="5">
        <v>5138.2868852459014</v>
      </c>
      <c r="N981" s="11">
        <v>2988.8167447306791</v>
      </c>
      <c r="O981" s="13">
        <v>2024</v>
      </c>
    </row>
    <row r="982" spans="1:15" ht="14.5" customHeight="1" x14ac:dyDescent="0.35">
      <c r="A982" s="20" t="s">
        <v>1959</v>
      </c>
      <c r="B982" s="15" t="s">
        <v>1960</v>
      </c>
      <c r="C982" s="15" t="s">
        <v>3108</v>
      </c>
      <c r="D982" s="16" t="s">
        <v>11</v>
      </c>
      <c r="E982" s="15" t="s">
        <v>173</v>
      </c>
      <c r="F982" s="15" t="s">
        <v>170</v>
      </c>
      <c r="G982" s="17" t="str">
        <f t="shared" si="15"/>
        <v>Small</v>
      </c>
      <c r="H982" s="3">
        <v>5804</v>
      </c>
      <c r="I982" s="4">
        <v>91.7</v>
      </c>
      <c r="J982" s="5">
        <v>92180.918676774643</v>
      </c>
      <c r="K982" s="6">
        <v>2.6816062273726793E-3</v>
      </c>
      <c r="L982" s="5">
        <v>560.69914197105436</v>
      </c>
      <c r="M982" s="5">
        <v>1487.21088904204</v>
      </c>
      <c r="N982" s="11">
        <v>1612.7949017918677</v>
      </c>
      <c r="O982" s="13">
        <v>2024</v>
      </c>
    </row>
    <row r="983" spans="1:15" ht="14.5" customHeight="1" x14ac:dyDescent="0.35">
      <c r="A983" s="20" t="s">
        <v>1961</v>
      </c>
      <c r="B983" s="15" t="s">
        <v>1962</v>
      </c>
      <c r="C983" s="15" t="s">
        <v>3108</v>
      </c>
      <c r="D983" s="16" t="s">
        <v>46</v>
      </c>
      <c r="E983" s="15" t="s">
        <v>214</v>
      </c>
      <c r="F983" s="15" t="s">
        <v>170</v>
      </c>
      <c r="G983" s="17" t="str">
        <f t="shared" si="15"/>
        <v>Small</v>
      </c>
      <c r="H983" s="3">
        <v>1897</v>
      </c>
      <c r="I983" s="4">
        <v>23.6</v>
      </c>
      <c r="J983" s="5">
        <v>90823.443858724306</v>
      </c>
      <c r="K983" s="6">
        <v>2.6903675365261871E-3</v>
      </c>
      <c r="L983" s="5">
        <v>374.5255666842383</v>
      </c>
      <c r="M983" s="5">
        <v>72.602087506589356</v>
      </c>
      <c r="N983" s="11">
        <v>430.16657880864523</v>
      </c>
      <c r="O983" s="13">
        <v>2024</v>
      </c>
    </row>
    <row r="984" spans="1:15" ht="14.5" customHeight="1" x14ac:dyDescent="0.35">
      <c r="A984" s="20" t="s">
        <v>1963</v>
      </c>
      <c r="B984" s="15" t="s">
        <v>1964</v>
      </c>
      <c r="C984" s="15" t="s">
        <v>3108</v>
      </c>
      <c r="D984" s="16" t="s">
        <v>193</v>
      </c>
      <c r="E984" s="15" t="s">
        <v>186</v>
      </c>
      <c r="F984" s="15" t="s">
        <v>170</v>
      </c>
      <c r="G984" s="17" t="str">
        <f t="shared" si="15"/>
        <v>Small</v>
      </c>
      <c r="H984" s="3">
        <v>1049</v>
      </c>
      <c r="I984" s="4">
        <v>35.9</v>
      </c>
      <c r="J984" s="5">
        <v>68360.730219256438</v>
      </c>
      <c r="K984" s="6">
        <v>8.460414657253508E-3</v>
      </c>
      <c r="L984" s="5">
        <v>581.17668255481408</v>
      </c>
      <c r="M984" s="5">
        <v>0</v>
      </c>
      <c r="N984" s="11">
        <v>894.38861773117253</v>
      </c>
      <c r="O984" s="13">
        <v>2024</v>
      </c>
    </row>
    <row r="985" spans="1:15" ht="14.5" customHeight="1" x14ac:dyDescent="0.35">
      <c r="A985" s="20" t="s">
        <v>1965</v>
      </c>
      <c r="B985" s="15" t="s">
        <v>1966</v>
      </c>
      <c r="C985" s="15" t="s">
        <v>3108</v>
      </c>
      <c r="D985" s="16" t="s">
        <v>234</v>
      </c>
      <c r="E985" s="15" t="s">
        <v>178</v>
      </c>
      <c r="F985" s="15" t="s">
        <v>170</v>
      </c>
      <c r="G985" s="17" t="str">
        <f t="shared" si="15"/>
        <v>Small</v>
      </c>
      <c r="H985" s="3">
        <v>4002</v>
      </c>
      <c r="I985" s="4">
        <v>39.1</v>
      </c>
      <c r="J985" s="5">
        <v>76629.411044477762</v>
      </c>
      <c r="K985" s="6">
        <v>3.7909008928701656E-3</v>
      </c>
      <c r="L985" s="5">
        <v>480.62643678160919</v>
      </c>
      <c r="M985" s="5">
        <v>2689.2553723138431</v>
      </c>
      <c r="N985" s="11">
        <v>682.99125437281361</v>
      </c>
      <c r="O985" s="13">
        <v>2024</v>
      </c>
    </row>
    <row r="986" spans="1:15" ht="14.5" customHeight="1" x14ac:dyDescent="0.35">
      <c r="A986" s="20" t="s">
        <v>1967</v>
      </c>
      <c r="B986" s="15" t="s">
        <v>1968</v>
      </c>
      <c r="C986" s="15" t="s">
        <v>3108</v>
      </c>
      <c r="D986" s="16" t="s">
        <v>53</v>
      </c>
      <c r="E986" s="15" t="s">
        <v>207</v>
      </c>
      <c r="F986" s="15" t="s">
        <v>208</v>
      </c>
      <c r="G986" s="17" t="str">
        <f t="shared" si="15"/>
        <v>Medium</v>
      </c>
      <c r="H986" s="3">
        <v>12197</v>
      </c>
      <c r="I986" s="4">
        <v>36.1</v>
      </c>
      <c r="J986" s="5">
        <v>214174.24301057638</v>
      </c>
      <c r="K986" s="6">
        <v>4.1818337017835525E-3</v>
      </c>
      <c r="L986" s="5">
        <v>1021.9765614495368</v>
      </c>
      <c r="M986" s="5">
        <v>319.75075838320896</v>
      </c>
      <c r="N986" s="11">
        <v>1384.4091932442404</v>
      </c>
      <c r="O986" s="13">
        <v>2024</v>
      </c>
    </row>
    <row r="987" spans="1:15" ht="14.5" customHeight="1" x14ac:dyDescent="0.35">
      <c r="A987" s="20" t="s">
        <v>1969</v>
      </c>
      <c r="B987" s="15" t="s">
        <v>1970</v>
      </c>
      <c r="C987" s="15" t="s">
        <v>3108</v>
      </c>
      <c r="D987" s="16" t="s">
        <v>18</v>
      </c>
      <c r="E987" s="15" t="s">
        <v>173</v>
      </c>
      <c r="F987" s="15" t="s">
        <v>170</v>
      </c>
      <c r="G987" s="17" t="str">
        <f t="shared" si="15"/>
        <v>Small</v>
      </c>
      <c r="H987" s="3">
        <v>1665</v>
      </c>
      <c r="I987" s="4">
        <v>55.4</v>
      </c>
      <c r="J987" s="5">
        <v>98693.134534534533</v>
      </c>
      <c r="K987" s="6" t="s">
        <v>27</v>
      </c>
      <c r="L987" s="5">
        <v>0</v>
      </c>
      <c r="M987" s="5">
        <v>0</v>
      </c>
      <c r="N987" s="11">
        <v>0</v>
      </c>
      <c r="O987" s="13">
        <v>2024</v>
      </c>
    </row>
    <row r="988" spans="1:15" ht="14.5" customHeight="1" x14ac:dyDescent="0.35">
      <c r="A988" s="20" t="s">
        <v>1971</v>
      </c>
      <c r="B988" s="15" t="s">
        <v>1972</v>
      </c>
      <c r="C988" s="15" t="s">
        <v>3108</v>
      </c>
      <c r="D988" s="16" t="s">
        <v>43</v>
      </c>
      <c r="E988" s="15" t="s">
        <v>207</v>
      </c>
      <c r="F988" s="15" t="s">
        <v>208</v>
      </c>
      <c r="G988" s="17" t="str">
        <f t="shared" si="15"/>
        <v>Small</v>
      </c>
      <c r="H988" s="3">
        <v>6287</v>
      </c>
      <c r="I988" s="4">
        <v>67.3</v>
      </c>
      <c r="J988" s="5">
        <v>487112.2288850008</v>
      </c>
      <c r="K988" s="6">
        <v>2.4377815383161989E-3</v>
      </c>
      <c r="L988" s="5">
        <v>1331.5407984730396</v>
      </c>
      <c r="M988" s="5">
        <v>707.80976618418958</v>
      </c>
      <c r="N988" s="11">
        <v>1735.3108000636234</v>
      </c>
      <c r="O988" s="13">
        <v>2024</v>
      </c>
    </row>
    <row r="989" spans="1:15" ht="14.5" customHeight="1" x14ac:dyDescent="0.35">
      <c r="A989" s="20" t="s">
        <v>1973</v>
      </c>
      <c r="B989" s="15" t="s">
        <v>1974</v>
      </c>
      <c r="C989" s="15" t="s">
        <v>3108</v>
      </c>
      <c r="D989" s="16" t="s">
        <v>69</v>
      </c>
      <c r="E989" s="15" t="s">
        <v>173</v>
      </c>
      <c r="F989" s="15" t="s">
        <v>170</v>
      </c>
      <c r="G989" s="17" t="str">
        <f t="shared" si="15"/>
        <v>Small</v>
      </c>
      <c r="H989" s="3">
        <v>2112</v>
      </c>
      <c r="I989" s="4">
        <v>46.7</v>
      </c>
      <c r="J989" s="5">
        <v>89610.491950757569</v>
      </c>
      <c r="K989" s="6">
        <v>5.028068683976511E-3</v>
      </c>
      <c r="L989" s="5">
        <v>558.07623106060601</v>
      </c>
      <c r="M989" s="5">
        <v>814.39393939393938</v>
      </c>
      <c r="N989" s="11">
        <v>923.62263257575762</v>
      </c>
      <c r="O989" s="13">
        <v>2024</v>
      </c>
    </row>
    <row r="990" spans="1:15" ht="14.5" customHeight="1" x14ac:dyDescent="0.35">
      <c r="A990" s="20" t="s">
        <v>1975</v>
      </c>
      <c r="B990" s="15" t="s">
        <v>1976</v>
      </c>
      <c r="C990" s="15" t="s">
        <v>3108</v>
      </c>
      <c r="D990" s="16" t="s">
        <v>94</v>
      </c>
      <c r="E990" s="15" t="s">
        <v>169</v>
      </c>
      <c r="F990" s="15" t="s">
        <v>170</v>
      </c>
      <c r="G990" s="17" t="str">
        <f t="shared" si="15"/>
        <v>Small</v>
      </c>
      <c r="H990" s="3">
        <v>198</v>
      </c>
      <c r="I990" s="4">
        <v>43.2</v>
      </c>
      <c r="J990" s="5">
        <v>208837.07575757575</v>
      </c>
      <c r="K990" s="6" t="s">
        <v>27</v>
      </c>
      <c r="L990" s="5">
        <v>0</v>
      </c>
      <c r="M990" s="5">
        <v>0</v>
      </c>
      <c r="N990" s="11">
        <v>0</v>
      </c>
      <c r="O990" s="13">
        <v>2024</v>
      </c>
    </row>
    <row r="991" spans="1:15" ht="14.5" customHeight="1" x14ac:dyDescent="0.35">
      <c r="A991" s="20" t="s">
        <v>1977</v>
      </c>
      <c r="B991" s="15" t="s">
        <v>1978</v>
      </c>
      <c r="C991" s="15" t="s">
        <v>3108</v>
      </c>
      <c r="D991" s="16" t="s">
        <v>338</v>
      </c>
      <c r="E991" s="15" t="s">
        <v>214</v>
      </c>
      <c r="F991" s="15" t="s">
        <v>170</v>
      </c>
      <c r="G991" s="17" t="str">
        <f t="shared" si="15"/>
        <v>Small</v>
      </c>
      <c r="H991" s="3">
        <v>1516</v>
      </c>
      <c r="I991" s="4">
        <v>28.6</v>
      </c>
      <c r="J991" s="5">
        <v>102204.70382585752</v>
      </c>
      <c r="K991" s="6">
        <v>2.7068512994037758E-3</v>
      </c>
      <c r="L991" s="5">
        <v>531.72162928759906</v>
      </c>
      <c r="M991" s="5">
        <v>43.720738786279682</v>
      </c>
      <c r="N991" s="11">
        <v>703.75228891820575</v>
      </c>
      <c r="O991" s="13">
        <v>2024</v>
      </c>
    </row>
    <row r="992" spans="1:15" ht="14.5" customHeight="1" x14ac:dyDescent="0.35">
      <c r="A992" s="20" t="s">
        <v>1979</v>
      </c>
      <c r="B992" s="15" t="s">
        <v>289</v>
      </c>
      <c r="C992" s="15" t="s">
        <v>3108</v>
      </c>
      <c r="D992" s="16" t="s">
        <v>181</v>
      </c>
      <c r="E992" s="15" t="s">
        <v>178</v>
      </c>
      <c r="F992" s="15" t="s">
        <v>170</v>
      </c>
      <c r="G992" s="17" t="str">
        <f t="shared" si="15"/>
        <v>Small</v>
      </c>
      <c r="H992" s="3">
        <v>2567</v>
      </c>
      <c r="I992" s="4">
        <v>37.4</v>
      </c>
      <c r="J992" s="5">
        <v>86964.849629918186</v>
      </c>
      <c r="K992" s="6">
        <v>5.4650677633865654E-3</v>
      </c>
      <c r="L992" s="5">
        <v>512.17325671990636</v>
      </c>
      <c r="M992" s="5">
        <v>706.47956369302688</v>
      </c>
      <c r="N992" s="11">
        <v>883.10941955590181</v>
      </c>
      <c r="O992" s="13">
        <v>2024</v>
      </c>
    </row>
    <row r="993" spans="1:15" ht="14.5" customHeight="1" x14ac:dyDescent="0.35">
      <c r="A993" s="20" t="s">
        <v>1980</v>
      </c>
      <c r="B993" s="15" t="s">
        <v>1981</v>
      </c>
      <c r="C993" s="15" t="s">
        <v>3108</v>
      </c>
      <c r="D993" s="16" t="s">
        <v>269</v>
      </c>
      <c r="E993" s="15" t="s">
        <v>178</v>
      </c>
      <c r="F993" s="15" t="s">
        <v>170</v>
      </c>
      <c r="G993" s="17" t="str">
        <f t="shared" si="15"/>
        <v>Small</v>
      </c>
      <c r="H993" s="3">
        <v>3182</v>
      </c>
      <c r="I993" s="4">
        <v>49.1</v>
      </c>
      <c r="J993" s="5">
        <v>90036.34600879949</v>
      </c>
      <c r="K993" s="6">
        <v>6.0754324953056094E-3</v>
      </c>
      <c r="L993" s="5">
        <v>579.17567567567562</v>
      </c>
      <c r="M993" s="5">
        <v>2536.8406662476432</v>
      </c>
      <c r="N993" s="11">
        <v>2004.1398491514772</v>
      </c>
      <c r="O993" s="13">
        <v>2024</v>
      </c>
    </row>
    <row r="994" spans="1:15" ht="14.5" customHeight="1" x14ac:dyDescent="0.35">
      <c r="A994" s="20" t="s">
        <v>1982</v>
      </c>
      <c r="B994" s="15" t="s">
        <v>1983</v>
      </c>
      <c r="C994" s="15" t="s">
        <v>3108</v>
      </c>
      <c r="D994" s="16" t="s">
        <v>65</v>
      </c>
      <c r="E994" s="15" t="s">
        <v>186</v>
      </c>
      <c r="F994" s="15" t="s">
        <v>170</v>
      </c>
      <c r="G994" s="17" t="str">
        <f t="shared" si="15"/>
        <v>Small</v>
      </c>
      <c r="H994" s="3">
        <v>3827</v>
      </c>
      <c r="I994" s="4">
        <v>36.299999999999997</v>
      </c>
      <c r="J994" s="5">
        <v>68536.168800627129</v>
      </c>
      <c r="K994" s="6">
        <v>3.5670289242983729E-3</v>
      </c>
      <c r="L994" s="5">
        <v>404.88531486804288</v>
      </c>
      <c r="M994" s="5">
        <v>767.23070028743143</v>
      </c>
      <c r="N994" s="11">
        <v>1516.3436843480533</v>
      </c>
      <c r="O994" s="13">
        <v>2024</v>
      </c>
    </row>
    <row r="995" spans="1:15" ht="14.5" customHeight="1" x14ac:dyDescent="0.35">
      <c r="A995" s="20" t="s">
        <v>1984</v>
      </c>
      <c r="B995" s="15" t="s">
        <v>1985</v>
      </c>
      <c r="C995" s="15" t="s">
        <v>3108</v>
      </c>
      <c r="D995" s="16" t="s">
        <v>55</v>
      </c>
      <c r="E995" s="15" t="s">
        <v>207</v>
      </c>
      <c r="F995" s="15" t="s">
        <v>208</v>
      </c>
      <c r="G995" s="17" t="str">
        <f t="shared" si="15"/>
        <v>Medium</v>
      </c>
      <c r="H995" s="3">
        <v>36569</v>
      </c>
      <c r="I995" s="4">
        <v>36.6</v>
      </c>
      <c r="J995" s="5">
        <v>208101.72487626132</v>
      </c>
      <c r="K995" s="6">
        <v>3.5351027009083965E-3</v>
      </c>
      <c r="L995" s="5">
        <v>1223.3185372856792</v>
      </c>
      <c r="M995" s="5">
        <v>333.73349011457793</v>
      </c>
      <c r="N995" s="11">
        <v>2008.5490861111871</v>
      </c>
      <c r="O995" s="13">
        <v>2024</v>
      </c>
    </row>
    <row r="996" spans="1:15" ht="14.5" customHeight="1" x14ac:dyDescent="0.35">
      <c r="A996" s="20" t="s">
        <v>1986</v>
      </c>
      <c r="B996" s="2" t="s">
        <v>1987</v>
      </c>
      <c r="C996" s="17" t="s">
        <v>3109</v>
      </c>
      <c r="D996" s="2" t="s">
        <v>94</v>
      </c>
      <c r="E996" s="15" t="s">
        <v>169</v>
      </c>
      <c r="F996" t="s">
        <v>170</v>
      </c>
      <c r="G996" s="2" t="str">
        <f>IF(H996&lt;=1000,"Small",IF(H996&lt;=11000,"Medium",IF(H996&gt;=11000,"Large")))</f>
        <v>Medium</v>
      </c>
      <c r="H996" s="3">
        <v>1633</v>
      </c>
      <c r="I996" s="4">
        <v>1.5</v>
      </c>
      <c r="J996" s="5">
        <v>53725.308634415189</v>
      </c>
      <c r="K996" s="6">
        <v>7.1724997777073089E-3</v>
      </c>
      <c r="L996" s="5">
        <v>642.18876301285991</v>
      </c>
      <c r="M996" s="5">
        <v>3703.6827924066138</v>
      </c>
      <c r="N996" s="11">
        <v>1980.0330434782609</v>
      </c>
      <c r="O996" s="13">
        <v>2024</v>
      </c>
    </row>
    <row r="997" spans="1:15" ht="14.5" customHeight="1" x14ac:dyDescent="0.35">
      <c r="A997" s="20" t="s">
        <v>1988</v>
      </c>
      <c r="B997" s="2" t="s">
        <v>1989</v>
      </c>
      <c r="C997" s="17" t="s">
        <v>3109</v>
      </c>
      <c r="D997" s="2" t="s">
        <v>18</v>
      </c>
      <c r="E997" s="15" t="s">
        <v>173</v>
      </c>
      <c r="F997" t="s">
        <v>170</v>
      </c>
      <c r="G997" s="2" t="str">
        <f t="shared" ref="G997:G1060" si="16">IF(H997&lt;=1000,"Small",IF(H997&lt;=11000,"Medium",IF(H997&gt;=11000,"Large")))</f>
        <v>Medium</v>
      </c>
      <c r="H997" s="3">
        <v>1561</v>
      </c>
      <c r="I997" s="4">
        <v>1.9</v>
      </c>
      <c r="J997" s="5">
        <v>42514.485586162715</v>
      </c>
      <c r="K997" s="6">
        <v>1.8223370134597228E-2</v>
      </c>
      <c r="L997" s="5">
        <v>968.99359385009609</v>
      </c>
      <c r="M997" s="5">
        <v>2947.8513773222294</v>
      </c>
      <c r="N997" s="11">
        <v>1023.4529147982063</v>
      </c>
      <c r="O997" s="13">
        <v>2024</v>
      </c>
    </row>
    <row r="998" spans="1:15" ht="14.5" customHeight="1" x14ac:dyDescent="0.35">
      <c r="A998" s="20" t="s">
        <v>1990</v>
      </c>
      <c r="B998" s="2" t="s">
        <v>1991</v>
      </c>
      <c r="C998" s="17" t="s">
        <v>3109</v>
      </c>
      <c r="D998" s="2" t="s">
        <v>61</v>
      </c>
      <c r="E998" s="15" t="s">
        <v>173</v>
      </c>
      <c r="F998" t="s">
        <v>170</v>
      </c>
      <c r="G998" s="2" t="str">
        <f t="shared" si="16"/>
        <v>Small</v>
      </c>
      <c r="H998" s="3">
        <v>794</v>
      </c>
      <c r="I998" s="4">
        <v>1.5</v>
      </c>
      <c r="J998" s="5">
        <v>49464.340050377832</v>
      </c>
      <c r="K998" s="6">
        <v>7.2367486273473974E-3</v>
      </c>
      <c r="L998" s="5">
        <v>503.7746851385391</v>
      </c>
      <c r="M998" s="5">
        <v>27.572670025188916</v>
      </c>
      <c r="N998" s="11">
        <v>912.11049118387905</v>
      </c>
      <c r="O998" s="13">
        <v>2024</v>
      </c>
    </row>
    <row r="999" spans="1:15" ht="14.5" customHeight="1" x14ac:dyDescent="0.35">
      <c r="A999" s="20" t="s">
        <v>1992</v>
      </c>
      <c r="B999" s="2" t="s">
        <v>1993</v>
      </c>
      <c r="C999" s="17" t="s">
        <v>3109</v>
      </c>
      <c r="D999" s="2" t="s">
        <v>513</v>
      </c>
      <c r="E999" s="15" t="s">
        <v>207</v>
      </c>
      <c r="F999" t="s">
        <v>208</v>
      </c>
      <c r="G999" s="2" t="str">
        <f t="shared" si="16"/>
        <v>Medium</v>
      </c>
      <c r="H999" s="3">
        <v>10166</v>
      </c>
      <c r="I999" s="4">
        <v>4.5999999999999996</v>
      </c>
      <c r="J999" s="5">
        <v>195419.95701357466</v>
      </c>
      <c r="K999" s="6">
        <v>7.6931177847850904E-4</v>
      </c>
      <c r="L999" s="5">
        <v>207.77296871926029</v>
      </c>
      <c r="M999" s="5">
        <v>241.49124532756247</v>
      </c>
      <c r="N999" s="11">
        <v>523.2947078496951</v>
      </c>
      <c r="O999" s="13">
        <v>2024</v>
      </c>
    </row>
    <row r="1000" spans="1:15" ht="14.5" customHeight="1" x14ac:dyDescent="0.35">
      <c r="A1000" s="20" t="s">
        <v>1994</v>
      </c>
      <c r="B1000" s="2" t="s">
        <v>1995</v>
      </c>
      <c r="C1000" s="17" t="s">
        <v>3109</v>
      </c>
      <c r="D1000" s="2" t="s">
        <v>13</v>
      </c>
      <c r="E1000" s="15" t="s">
        <v>186</v>
      </c>
      <c r="F1000" t="s">
        <v>170</v>
      </c>
      <c r="G1000" s="2" t="str">
        <f t="shared" si="16"/>
        <v>Medium</v>
      </c>
      <c r="H1000" s="3">
        <v>2888</v>
      </c>
      <c r="I1000" s="4">
        <v>2</v>
      </c>
      <c r="J1000" s="5">
        <v>73734.537396121887</v>
      </c>
      <c r="K1000" s="6">
        <v>5.2379121282877163E-3</v>
      </c>
      <c r="L1000" s="5">
        <v>534.74065096952904</v>
      </c>
      <c r="M1000" s="5">
        <v>1996.4473684210527</v>
      </c>
      <c r="N1000" s="11">
        <v>2377.990997229917</v>
      </c>
      <c r="O1000" s="13">
        <v>2024</v>
      </c>
    </row>
    <row r="1001" spans="1:15" ht="14.5" customHeight="1" x14ac:dyDescent="0.35">
      <c r="A1001" s="20" t="s">
        <v>1996</v>
      </c>
      <c r="B1001" s="2" t="s">
        <v>1997</v>
      </c>
      <c r="C1001" s="17" t="s">
        <v>3109</v>
      </c>
      <c r="D1001" s="2" t="s">
        <v>181</v>
      </c>
      <c r="E1001" s="15" t="s">
        <v>178</v>
      </c>
      <c r="F1001" t="s">
        <v>170</v>
      </c>
      <c r="G1001" s="2" t="str">
        <f t="shared" si="16"/>
        <v>Medium</v>
      </c>
      <c r="H1001" s="3">
        <v>5637</v>
      </c>
      <c r="I1001" s="4">
        <v>2.9</v>
      </c>
      <c r="J1001" s="5">
        <v>32657.187156288805</v>
      </c>
      <c r="K1001" s="6">
        <v>1.5880796375813983E-2</v>
      </c>
      <c r="L1001" s="5">
        <v>588.31541600141918</v>
      </c>
      <c r="M1001" s="5">
        <v>1091.3895689196381</v>
      </c>
      <c r="N1001" s="11">
        <v>1681.6379279758737</v>
      </c>
      <c r="O1001" s="13">
        <v>2024</v>
      </c>
    </row>
    <row r="1002" spans="1:15" ht="14.5" customHeight="1" x14ac:dyDescent="0.35">
      <c r="A1002" s="20" t="s">
        <v>1998</v>
      </c>
      <c r="B1002" s="2" t="s">
        <v>1999</v>
      </c>
      <c r="C1002" s="17" t="s">
        <v>3109</v>
      </c>
      <c r="D1002" s="2" t="s">
        <v>13</v>
      </c>
      <c r="E1002" s="15" t="s">
        <v>186</v>
      </c>
      <c r="F1002" t="s">
        <v>170</v>
      </c>
      <c r="G1002" s="2" t="str">
        <f t="shared" si="16"/>
        <v>Medium</v>
      </c>
      <c r="H1002" s="3">
        <v>2604</v>
      </c>
      <c r="I1002" s="4">
        <v>2.7</v>
      </c>
      <c r="J1002" s="5">
        <v>77668.715821812599</v>
      </c>
      <c r="K1002" s="6">
        <v>5.2233150471257912E-3</v>
      </c>
      <c r="L1002" s="5">
        <v>582.77304147465441</v>
      </c>
      <c r="M1002" s="5">
        <v>3151.4942396313363</v>
      </c>
      <c r="N1002" s="11">
        <v>1516.023425499232</v>
      </c>
      <c r="O1002" s="13">
        <v>2024</v>
      </c>
    </row>
    <row r="1003" spans="1:15" ht="14.5" customHeight="1" x14ac:dyDescent="0.35">
      <c r="A1003" s="20" t="s">
        <v>2000</v>
      </c>
      <c r="B1003" s="2" t="s">
        <v>2001</v>
      </c>
      <c r="C1003" s="17" t="s">
        <v>3109</v>
      </c>
      <c r="D1003" s="2" t="s">
        <v>7</v>
      </c>
      <c r="E1003" s="15" t="s">
        <v>178</v>
      </c>
      <c r="F1003" t="s">
        <v>170</v>
      </c>
      <c r="G1003" s="2" t="str">
        <f t="shared" si="16"/>
        <v>Small</v>
      </c>
      <c r="H1003" s="3">
        <v>518</v>
      </c>
      <c r="I1003" s="4">
        <v>0.4</v>
      </c>
      <c r="J1003" s="5">
        <v>44497.648648648646</v>
      </c>
      <c r="K1003" s="6">
        <v>2.3090023150761254E-3</v>
      </c>
      <c r="L1003" s="5">
        <v>267.06563706563708</v>
      </c>
      <c r="M1003" s="5">
        <v>5368.7258687258691</v>
      </c>
      <c r="N1003" s="11">
        <v>1112.6602316602316</v>
      </c>
      <c r="O1003" s="13">
        <v>2024</v>
      </c>
    </row>
    <row r="1004" spans="1:15" ht="14.5" customHeight="1" x14ac:dyDescent="0.35">
      <c r="A1004" s="20" t="s">
        <v>2002</v>
      </c>
      <c r="B1004" s="2" t="s">
        <v>2003</v>
      </c>
      <c r="C1004" s="17" t="s">
        <v>3109</v>
      </c>
      <c r="D1004" s="2" t="s">
        <v>94</v>
      </c>
      <c r="E1004" s="15" t="s">
        <v>169</v>
      </c>
      <c r="F1004" t="s">
        <v>170</v>
      </c>
      <c r="G1004" s="2" t="str">
        <f t="shared" si="16"/>
        <v>Small</v>
      </c>
      <c r="H1004" s="3">
        <v>924</v>
      </c>
      <c r="I1004" s="4">
        <v>0.8</v>
      </c>
      <c r="J1004" s="5">
        <v>139937.44696969696</v>
      </c>
      <c r="K1004" s="6">
        <v>8.9016272816577965E-3</v>
      </c>
      <c r="L1004" s="5">
        <v>1862.1839826839828</v>
      </c>
      <c r="M1004" s="5">
        <v>5442.2608225108224</v>
      </c>
      <c r="N1004" s="11">
        <v>5533.8528138528136</v>
      </c>
      <c r="O1004" s="13">
        <v>2024</v>
      </c>
    </row>
    <row r="1005" spans="1:15" ht="14.5" customHeight="1" x14ac:dyDescent="0.35">
      <c r="A1005" s="20" t="s">
        <v>2004</v>
      </c>
      <c r="B1005" s="2" t="s">
        <v>2005</v>
      </c>
      <c r="C1005" s="17" t="s">
        <v>3109</v>
      </c>
      <c r="D1005" s="2" t="s">
        <v>193</v>
      </c>
      <c r="E1005" s="15" t="s">
        <v>186</v>
      </c>
      <c r="F1005" t="s">
        <v>170</v>
      </c>
      <c r="G1005" s="2" t="str">
        <f t="shared" si="16"/>
        <v>Medium</v>
      </c>
      <c r="H1005" s="3">
        <v>4026</v>
      </c>
      <c r="I1005" s="4">
        <v>1.2</v>
      </c>
      <c r="J1005" s="5">
        <v>12082.9570293095</v>
      </c>
      <c r="K1005" s="6">
        <v>1.1716499933139396E-2</v>
      </c>
      <c r="L1005" s="5">
        <v>146.44177098857429</v>
      </c>
      <c r="M1005" s="5">
        <v>643.31298807749624</v>
      </c>
      <c r="N1005" s="11">
        <v>1000.5356830601094</v>
      </c>
      <c r="O1005" s="13">
        <v>2024</v>
      </c>
    </row>
    <row r="1006" spans="1:15" ht="14.5" customHeight="1" x14ac:dyDescent="0.35">
      <c r="A1006" s="20" t="s">
        <v>2006</v>
      </c>
      <c r="B1006" s="2" t="s">
        <v>2007</v>
      </c>
      <c r="C1006" s="17" t="s">
        <v>3109</v>
      </c>
      <c r="D1006" s="2" t="s">
        <v>65</v>
      </c>
      <c r="E1006" s="15" t="s">
        <v>186</v>
      </c>
      <c r="F1006" t="s">
        <v>170</v>
      </c>
      <c r="G1006" s="2" t="str">
        <f t="shared" si="16"/>
        <v>Medium</v>
      </c>
      <c r="H1006" s="3">
        <v>1544</v>
      </c>
      <c r="I1006" s="4">
        <v>0.7</v>
      </c>
      <c r="J1006" s="5">
        <v>54456.759067357511</v>
      </c>
      <c r="K1006" s="6">
        <v>7.1856247450977056E-3</v>
      </c>
      <c r="L1006" s="5">
        <v>611.36975388601036</v>
      </c>
      <c r="M1006" s="5">
        <v>0</v>
      </c>
      <c r="N1006" s="11">
        <v>1317.7747279792745</v>
      </c>
      <c r="O1006" s="13">
        <v>2024</v>
      </c>
    </row>
    <row r="1007" spans="1:15" ht="14.5" customHeight="1" x14ac:dyDescent="0.35">
      <c r="A1007" s="20" t="s">
        <v>2008</v>
      </c>
      <c r="B1007" s="2" t="s">
        <v>2009</v>
      </c>
      <c r="C1007" s="17" t="s">
        <v>3109</v>
      </c>
      <c r="D1007" s="2" t="s">
        <v>193</v>
      </c>
      <c r="E1007" s="15" t="s">
        <v>186</v>
      </c>
      <c r="F1007" t="s">
        <v>170</v>
      </c>
      <c r="G1007" s="2" t="str">
        <f t="shared" si="16"/>
        <v>Small</v>
      </c>
      <c r="H1007" s="3">
        <v>415</v>
      </c>
      <c r="I1007" s="4">
        <v>0.6</v>
      </c>
      <c r="J1007" s="5">
        <v>31943.672289156628</v>
      </c>
      <c r="K1007" s="6" t="s">
        <v>27</v>
      </c>
      <c r="L1007" s="5">
        <v>0</v>
      </c>
      <c r="M1007" s="5">
        <v>0</v>
      </c>
      <c r="N1007" s="11">
        <v>0</v>
      </c>
      <c r="O1007" s="13">
        <v>2024</v>
      </c>
    </row>
    <row r="1008" spans="1:15" ht="14.5" customHeight="1" x14ac:dyDescent="0.35">
      <c r="A1008" s="20" t="s">
        <v>2010</v>
      </c>
      <c r="B1008" s="2" t="s">
        <v>2011</v>
      </c>
      <c r="C1008" s="17" t="s">
        <v>3109</v>
      </c>
      <c r="D1008" s="2" t="s">
        <v>1</v>
      </c>
      <c r="E1008" s="15" t="s">
        <v>217</v>
      </c>
      <c r="F1008" t="s">
        <v>170</v>
      </c>
      <c r="G1008" s="2" t="str">
        <f t="shared" si="16"/>
        <v>Medium</v>
      </c>
      <c r="H1008" s="3">
        <v>1675</v>
      </c>
      <c r="I1008" s="4">
        <v>1.2</v>
      </c>
      <c r="J1008" s="5">
        <v>97237.626268656721</v>
      </c>
      <c r="K1008" s="6">
        <v>1.9476521784233588E-3</v>
      </c>
      <c r="L1008" s="5">
        <v>709.24365970149245</v>
      </c>
      <c r="M1008" s="5">
        <v>1715.6716417910447</v>
      </c>
      <c r="N1008" s="11">
        <v>1734.4421014925374</v>
      </c>
      <c r="O1008" s="13">
        <v>2024</v>
      </c>
    </row>
    <row r="1009" spans="1:15" ht="14.5" customHeight="1" x14ac:dyDescent="0.35">
      <c r="A1009" s="20" t="s">
        <v>2012</v>
      </c>
      <c r="B1009" s="2" t="s">
        <v>2013</v>
      </c>
      <c r="C1009" s="17" t="s">
        <v>3109</v>
      </c>
      <c r="D1009" s="2" t="s">
        <v>3</v>
      </c>
      <c r="E1009" s="15" t="s">
        <v>214</v>
      </c>
      <c r="F1009" t="s">
        <v>170</v>
      </c>
      <c r="G1009" s="2" t="str">
        <f t="shared" si="16"/>
        <v>Small</v>
      </c>
      <c r="H1009" s="3">
        <v>138</v>
      </c>
      <c r="I1009" s="4">
        <v>0.1</v>
      </c>
      <c r="J1009" s="5">
        <v>43406.67391304348</v>
      </c>
      <c r="K1009" s="6">
        <v>3.1867503177314778E-3</v>
      </c>
      <c r="L1009" s="5">
        <v>365.97195652173917</v>
      </c>
      <c r="M1009" s="5">
        <v>823.88152173913045</v>
      </c>
      <c r="N1009" s="11">
        <v>816.91905797101447</v>
      </c>
      <c r="O1009" s="13">
        <v>2024</v>
      </c>
    </row>
    <row r="1010" spans="1:15" ht="14.5" customHeight="1" x14ac:dyDescent="0.35">
      <c r="A1010" s="20" t="s">
        <v>2014</v>
      </c>
      <c r="B1010" s="2" t="s">
        <v>2015</v>
      </c>
      <c r="C1010" s="17" t="s">
        <v>3109</v>
      </c>
      <c r="D1010" s="2" t="s">
        <v>272</v>
      </c>
      <c r="E1010" s="15" t="s">
        <v>273</v>
      </c>
      <c r="F1010" t="s">
        <v>208</v>
      </c>
      <c r="G1010" s="2" t="str">
        <f t="shared" si="16"/>
        <v>Medium</v>
      </c>
      <c r="H1010" s="3">
        <v>9500</v>
      </c>
      <c r="I1010" s="4">
        <v>2.1</v>
      </c>
      <c r="J1010" s="5">
        <v>200617.82378947368</v>
      </c>
      <c r="K1010" s="6">
        <v>7.4464454652753047E-3</v>
      </c>
      <c r="L1010" s="5">
        <v>1722.3453684210526</v>
      </c>
      <c r="M1010" s="5">
        <v>466.77610526315789</v>
      </c>
      <c r="N1010" s="11">
        <v>2157.8524210526316</v>
      </c>
      <c r="O1010" s="13">
        <v>2024</v>
      </c>
    </row>
    <row r="1011" spans="1:15" ht="14.5" customHeight="1" x14ac:dyDescent="0.35">
      <c r="A1011" s="20" t="s">
        <v>2016</v>
      </c>
      <c r="B1011" s="2" t="s">
        <v>2017</v>
      </c>
      <c r="C1011" s="17" t="s">
        <v>3109</v>
      </c>
      <c r="D1011" s="2" t="s">
        <v>193</v>
      </c>
      <c r="E1011" s="15" t="s">
        <v>186</v>
      </c>
      <c r="F1011" t="s">
        <v>170</v>
      </c>
      <c r="G1011" s="2" t="str">
        <f t="shared" si="16"/>
        <v>Small</v>
      </c>
      <c r="H1011" s="3">
        <v>890</v>
      </c>
      <c r="I1011" s="4">
        <v>1</v>
      </c>
      <c r="J1011" s="5">
        <v>32657.475280898878</v>
      </c>
      <c r="K1011" s="6">
        <v>1.1549982207215629E-2</v>
      </c>
      <c r="L1011" s="5">
        <v>392.16592134831461</v>
      </c>
      <c r="M1011" s="5">
        <v>823.47142696629203</v>
      </c>
      <c r="N1011" s="11">
        <v>1858.8681910112359</v>
      </c>
      <c r="O1011" s="13">
        <v>2024</v>
      </c>
    </row>
    <row r="1012" spans="1:15" ht="14.5" customHeight="1" x14ac:dyDescent="0.35">
      <c r="A1012" s="20" t="s">
        <v>2018</v>
      </c>
      <c r="B1012" s="2" t="s">
        <v>2019</v>
      </c>
      <c r="C1012" s="17" t="s">
        <v>3109</v>
      </c>
      <c r="D1012" s="2" t="s">
        <v>193</v>
      </c>
      <c r="E1012" s="15" t="s">
        <v>186</v>
      </c>
      <c r="F1012" t="s">
        <v>170</v>
      </c>
      <c r="G1012" s="2" t="str">
        <f t="shared" si="16"/>
        <v>Small</v>
      </c>
      <c r="H1012" s="3">
        <v>723</v>
      </c>
      <c r="I1012" s="4">
        <v>2.2000000000000002</v>
      </c>
      <c r="J1012" s="5">
        <v>34099.432918395571</v>
      </c>
      <c r="K1012" s="6">
        <v>1.3396504567838993E-2</v>
      </c>
      <c r="L1012" s="5">
        <v>481.21177040110655</v>
      </c>
      <c r="M1012" s="5">
        <v>1335.326417704011</v>
      </c>
      <c r="N1012" s="11">
        <v>2623.9261272475796</v>
      </c>
      <c r="O1012" s="13">
        <v>2024</v>
      </c>
    </row>
    <row r="1013" spans="1:15" ht="14.5" customHeight="1" x14ac:dyDescent="0.35">
      <c r="A1013" s="20" t="s">
        <v>2020</v>
      </c>
      <c r="B1013" s="2" t="s">
        <v>2021</v>
      </c>
      <c r="C1013" s="17" t="s">
        <v>3109</v>
      </c>
      <c r="D1013" s="2" t="s">
        <v>13</v>
      </c>
      <c r="E1013" s="15" t="s">
        <v>186</v>
      </c>
      <c r="F1013" t="s">
        <v>170</v>
      </c>
      <c r="G1013" s="2" t="str">
        <f t="shared" si="16"/>
        <v>Medium</v>
      </c>
      <c r="H1013" s="3">
        <v>2046</v>
      </c>
      <c r="I1013" s="4">
        <v>1.4</v>
      </c>
      <c r="J1013" s="5">
        <v>59776.560606060608</v>
      </c>
      <c r="K1013" s="6">
        <v>5.146707832458154E-3</v>
      </c>
      <c r="L1013" s="5">
        <v>464.77321603128053</v>
      </c>
      <c r="M1013" s="5">
        <v>710.50830889540566</v>
      </c>
      <c r="N1013" s="11">
        <v>1237.2199413489736</v>
      </c>
      <c r="O1013" s="13">
        <v>2024</v>
      </c>
    </row>
    <row r="1014" spans="1:15" ht="14.5" customHeight="1" x14ac:dyDescent="0.35">
      <c r="A1014" s="20" t="s">
        <v>2022</v>
      </c>
      <c r="B1014" s="2" t="s">
        <v>2023</v>
      </c>
      <c r="C1014" s="17" t="s">
        <v>3109</v>
      </c>
      <c r="D1014" s="2" t="s">
        <v>94</v>
      </c>
      <c r="E1014" s="15" t="s">
        <v>169</v>
      </c>
      <c r="F1014" t="s">
        <v>170</v>
      </c>
      <c r="G1014" s="2" t="str">
        <f t="shared" si="16"/>
        <v>Small</v>
      </c>
      <c r="H1014" s="3">
        <v>506</v>
      </c>
      <c r="I1014" s="4">
        <v>1</v>
      </c>
      <c r="J1014" s="5">
        <v>54632.883399209488</v>
      </c>
      <c r="K1014" s="6">
        <v>6.4383023891524012E-3</v>
      </c>
      <c r="L1014" s="5">
        <v>578.22822134387354</v>
      </c>
      <c r="M1014" s="5">
        <v>5679.051383399209</v>
      </c>
      <c r="N1014" s="11">
        <v>1497.7853162055335</v>
      </c>
      <c r="O1014" s="13">
        <v>2024</v>
      </c>
    </row>
    <row r="1015" spans="1:15" ht="14.5" customHeight="1" x14ac:dyDescent="0.35">
      <c r="A1015" s="20" t="s">
        <v>2024</v>
      </c>
      <c r="B1015" s="2" t="s">
        <v>2025</v>
      </c>
      <c r="C1015" s="17" t="s">
        <v>3109</v>
      </c>
      <c r="D1015" s="2" t="s">
        <v>231</v>
      </c>
      <c r="E1015" s="15" t="s">
        <v>178</v>
      </c>
      <c r="F1015" t="s">
        <v>170</v>
      </c>
      <c r="G1015" s="2" t="str">
        <f t="shared" si="16"/>
        <v>Medium</v>
      </c>
      <c r="H1015" s="3">
        <v>1908</v>
      </c>
      <c r="I1015" s="4">
        <v>2.7</v>
      </c>
      <c r="J1015" s="5">
        <v>67232.366352201265</v>
      </c>
      <c r="K1015" s="6">
        <v>1.5149563232524825E-2</v>
      </c>
      <c r="L1015" s="5">
        <v>1150.2396331236898</v>
      </c>
      <c r="M1015" s="5">
        <v>4365.5036687631027</v>
      </c>
      <c r="N1015" s="11">
        <v>7287.9085534591195</v>
      </c>
      <c r="O1015" s="13">
        <v>2024</v>
      </c>
    </row>
    <row r="1016" spans="1:15" ht="14.5" customHeight="1" x14ac:dyDescent="0.35">
      <c r="A1016" s="20" t="s">
        <v>2026</v>
      </c>
      <c r="B1016" s="2" t="s">
        <v>2027</v>
      </c>
      <c r="C1016" s="17" t="s">
        <v>3109</v>
      </c>
      <c r="D1016" s="2" t="s">
        <v>55</v>
      </c>
      <c r="E1016" s="15" t="s">
        <v>207</v>
      </c>
      <c r="F1016" t="s">
        <v>208</v>
      </c>
      <c r="G1016" s="2" t="str">
        <f t="shared" si="16"/>
        <v>Medium</v>
      </c>
      <c r="H1016" s="3">
        <v>5079</v>
      </c>
      <c r="I1016" s="4">
        <v>1.3</v>
      </c>
      <c r="J1016" s="5">
        <v>252724.60779681039</v>
      </c>
      <c r="K1016" s="6">
        <v>1.0761006611650411E-2</v>
      </c>
      <c r="L1016" s="5">
        <v>3076.6538688718251</v>
      </c>
      <c r="M1016" s="5">
        <v>6442.9533372711167</v>
      </c>
      <c r="N1016" s="11">
        <v>5384.791691277811</v>
      </c>
      <c r="O1016" s="13">
        <v>2024</v>
      </c>
    </row>
    <row r="1017" spans="1:15" ht="14.5" customHeight="1" x14ac:dyDescent="0.35">
      <c r="A1017" s="20" t="s">
        <v>2028</v>
      </c>
      <c r="B1017" s="2" t="s">
        <v>2029</v>
      </c>
      <c r="C1017" s="17" t="s">
        <v>3109</v>
      </c>
      <c r="D1017" s="2" t="s">
        <v>237</v>
      </c>
      <c r="E1017" s="15" t="s">
        <v>217</v>
      </c>
      <c r="F1017" t="s">
        <v>170</v>
      </c>
      <c r="G1017" s="2" t="str">
        <f t="shared" si="16"/>
        <v>Small</v>
      </c>
      <c r="H1017" s="3">
        <v>289</v>
      </c>
      <c r="I1017" s="4">
        <v>0.4</v>
      </c>
      <c r="J1017" s="5">
        <v>52544.719723183392</v>
      </c>
      <c r="K1017" s="6">
        <v>2.1561465784557614E-3</v>
      </c>
      <c r="L1017" s="5">
        <v>133.08166089965397</v>
      </c>
      <c r="M1017" s="5">
        <v>0</v>
      </c>
      <c r="N1017" s="11">
        <v>336.61608996539792</v>
      </c>
      <c r="O1017" s="13">
        <v>2024</v>
      </c>
    </row>
    <row r="1018" spans="1:15" ht="14.5" customHeight="1" x14ac:dyDescent="0.35">
      <c r="A1018" s="20" t="s">
        <v>2030</v>
      </c>
      <c r="B1018" s="2" t="s">
        <v>2031</v>
      </c>
      <c r="C1018" s="17" t="s">
        <v>3109</v>
      </c>
      <c r="D1018" s="2" t="s">
        <v>18</v>
      </c>
      <c r="E1018" s="15" t="s">
        <v>173</v>
      </c>
      <c r="F1018" t="s">
        <v>170</v>
      </c>
      <c r="G1018" s="2" t="str">
        <f t="shared" si="16"/>
        <v>Small</v>
      </c>
      <c r="H1018" s="3">
        <v>745</v>
      </c>
      <c r="I1018" s="4">
        <v>0.7</v>
      </c>
      <c r="J1018" s="5">
        <v>55670.224161073827</v>
      </c>
      <c r="K1018" s="6">
        <v>5.3836676804105057E-3</v>
      </c>
      <c r="L1018" s="5">
        <v>505.2401610738255</v>
      </c>
      <c r="M1018" s="5">
        <v>2359.7315436241611</v>
      </c>
      <c r="N1018" s="11">
        <v>898.03115436241603</v>
      </c>
      <c r="O1018" s="13">
        <v>2024</v>
      </c>
    </row>
    <row r="1019" spans="1:15" ht="14.5" customHeight="1" x14ac:dyDescent="0.35">
      <c r="A1019" s="20" t="s">
        <v>2032</v>
      </c>
      <c r="B1019" s="2" t="s">
        <v>2033</v>
      </c>
      <c r="C1019" s="17" t="s">
        <v>3109</v>
      </c>
      <c r="D1019" s="2" t="s">
        <v>272</v>
      </c>
      <c r="E1019" s="15" t="s">
        <v>273</v>
      </c>
      <c r="F1019" t="s">
        <v>208</v>
      </c>
      <c r="G1019" s="2" t="str">
        <f t="shared" si="16"/>
        <v>Small</v>
      </c>
      <c r="H1019" s="3">
        <v>592</v>
      </c>
      <c r="I1019" s="4">
        <v>1.5</v>
      </c>
      <c r="J1019" s="5">
        <v>733202.38344594592</v>
      </c>
      <c r="K1019" s="6">
        <v>4.0564783499696085E-3</v>
      </c>
      <c r="L1019" s="5">
        <v>3038.6013513513512</v>
      </c>
      <c r="M1019" s="5">
        <v>0</v>
      </c>
      <c r="N1019" s="11">
        <v>4292.9611486486483</v>
      </c>
      <c r="O1019" s="13">
        <v>2024</v>
      </c>
    </row>
    <row r="1020" spans="1:15" ht="14.5" customHeight="1" x14ac:dyDescent="0.35">
      <c r="A1020" s="20" t="s">
        <v>2034</v>
      </c>
      <c r="B1020" s="2" t="s">
        <v>2035</v>
      </c>
      <c r="C1020" s="17" t="s">
        <v>3109</v>
      </c>
      <c r="D1020" s="2" t="s">
        <v>248</v>
      </c>
      <c r="E1020" s="15" t="s">
        <v>217</v>
      </c>
      <c r="F1020" t="s">
        <v>170</v>
      </c>
      <c r="G1020" s="2" t="str">
        <f t="shared" si="16"/>
        <v>Medium</v>
      </c>
      <c r="H1020" s="3">
        <v>1586</v>
      </c>
      <c r="I1020" s="4">
        <v>3.4</v>
      </c>
      <c r="J1020" s="5">
        <v>130493.69609079444</v>
      </c>
      <c r="K1020" s="6" t="s">
        <v>27</v>
      </c>
      <c r="L1020" s="5">
        <v>0</v>
      </c>
      <c r="M1020" s="5">
        <v>0</v>
      </c>
      <c r="N1020" s="11">
        <v>0</v>
      </c>
      <c r="O1020" s="13">
        <v>2024</v>
      </c>
    </row>
    <row r="1021" spans="1:15" ht="14.5" customHeight="1" x14ac:dyDescent="0.35">
      <c r="A1021" s="20" t="s">
        <v>2036</v>
      </c>
      <c r="B1021" s="2" t="s">
        <v>2037</v>
      </c>
      <c r="C1021" s="17" t="s">
        <v>3109</v>
      </c>
      <c r="D1021" s="2" t="s">
        <v>30</v>
      </c>
      <c r="E1021" s="15" t="s">
        <v>273</v>
      </c>
      <c r="F1021" t="s">
        <v>208</v>
      </c>
      <c r="G1021" s="2" t="str">
        <f t="shared" si="16"/>
        <v>Medium</v>
      </c>
      <c r="H1021" s="3">
        <v>1707</v>
      </c>
      <c r="I1021" s="4">
        <v>0.4</v>
      </c>
      <c r="J1021" s="5">
        <v>542355.69771529001</v>
      </c>
      <c r="K1021" s="6">
        <v>3.4007323403961627E-3</v>
      </c>
      <c r="L1021" s="5">
        <v>1958.8207381370826</v>
      </c>
      <c r="M1021" s="5">
        <v>1877.5629759812537</v>
      </c>
      <c r="N1021" s="11">
        <v>2615.3210310486234</v>
      </c>
      <c r="O1021" s="13">
        <v>2024</v>
      </c>
    </row>
    <row r="1022" spans="1:15" ht="14.5" customHeight="1" x14ac:dyDescent="0.35">
      <c r="A1022" s="20" t="s">
        <v>2038</v>
      </c>
      <c r="B1022" s="2" t="s">
        <v>2039</v>
      </c>
      <c r="C1022" s="17" t="s">
        <v>3109</v>
      </c>
      <c r="D1022" s="2" t="s">
        <v>231</v>
      </c>
      <c r="E1022" s="15" t="s">
        <v>178</v>
      </c>
      <c r="F1022" t="s">
        <v>170</v>
      </c>
      <c r="G1022" s="2" t="str">
        <f t="shared" si="16"/>
        <v>Medium</v>
      </c>
      <c r="H1022" s="3">
        <v>2450</v>
      </c>
      <c r="I1022" s="4">
        <v>1.7</v>
      </c>
      <c r="J1022" s="5">
        <v>46037.66775510204</v>
      </c>
      <c r="K1022" s="6">
        <v>1.0631708005279721E-2</v>
      </c>
      <c r="L1022" s="5">
        <v>533.02630612244889</v>
      </c>
      <c r="M1022" s="5">
        <v>2156.7346938775509</v>
      </c>
      <c r="N1022" s="11">
        <v>1689.2238897959182</v>
      </c>
      <c r="O1022" s="13">
        <v>2024</v>
      </c>
    </row>
    <row r="1023" spans="1:15" ht="14.5" customHeight="1" x14ac:dyDescent="0.35">
      <c r="A1023" s="20" t="s">
        <v>2040</v>
      </c>
      <c r="B1023" s="2" t="s">
        <v>2041</v>
      </c>
      <c r="C1023" s="17" t="s">
        <v>3109</v>
      </c>
      <c r="D1023" s="2" t="s">
        <v>5</v>
      </c>
      <c r="E1023" s="15" t="s">
        <v>183</v>
      </c>
      <c r="F1023" t="s">
        <v>170</v>
      </c>
      <c r="G1023" s="2" t="str">
        <f t="shared" si="16"/>
        <v>Small</v>
      </c>
      <c r="H1023" s="3">
        <v>607</v>
      </c>
      <c r="I1023" s="4">
        <v>0.9</v>
      </c>
      <c r="J1023" s="5">
        <v>115373.11037891268</v>
      </c>
      <c r="K1023" s="6">
        <v>2.5399999411693129E-3</v>
      </c>
      <c r="L1023" s="5">
        <v>754.38678747940696</v>
      </c>
      <c r="M1023" s="5">
        <v>0</v>
      </c>
      <c r="N1023" s="11">
        <v>1151.1150741350905</v>
      </c>
      <c r="O1023" s="13">
        <v>2024</v>
      </c>
    </row>
    <row r="1024" spans="1:15" ht="14.5" customHeight="1" x14ac:dyDescent="0.35">
      <c r="A1024" s="20" t="s">
        <v>2042</v>
      </c>
      <c r="B1024" s="2" t="s">
        <v>2043</v>
      </c>
      <c r="C1024" s="17" t="s">
        <v>3109</v>
      </c>
      <c r="D1024" s="2" t="s">
        <v>18</v>
      </c>
      <c r="E1024" s="15" t="s">
        <v>173</v>
      </c>
      <c r="F1024" t="s">
        <v>170</v>
      </c>
      <c r="G1024" s="2" t="str">
        <f t="shared" si="16"/>
        <v>Small</v>
      </c>
      <c r="H1024" s="3">
        <v>809</v>
      </c>
      <c r="I1024" s="4">
        <v>1.3</v>
      </c>
      <c r="J1024" s="5">
        <v>32109.721878862794</v>
      </c>
      <c r="K1024" s="6" t="s">
        <v>27</v>
      </c>
      <c r="L1024" s="5">
        <v>0</v>
      </c>
      <c r="M1024" s="5">
        <v>0</v>
      </c>
      <c r="N1024" s="11">
        <v>0</v>
      </c>
      <c r="O1024" s="13">
        <v>2024</v>
      </c>
    </row>
    <row r="1025" spans="1:15" ht="14.5" customHeight="1" x14ac:dyDescent="0.35">
      <c r="A1025" s="20" t="s">
        <v>2044</v>
      </c>
      <c r="B1025" s="2" t="s">
        <v>2045</v>
      </c>
      <c r="C1025" s="17" t="s">
        <v>3109</v>
      </c>
      <c r="D1025" s="2" t="s">
        <v>269</v>
      </c>
      <c r="E1025" s="15" t="s">
        <v>178</v>
      </c>
      <c r="F1025" t="s">
        <v>170</v>
      </c>
      <c r="G1025" s="2" t="str">
        <f t="shared" si="16"/>
        <v>Medium</v>
      </c>
      <c r="H1025" s="3">
        <v>3399</v>
      </c>
      <c r="I1025" s="4">
        <v>3.1</v>
      </c>
      <c r="J1025" s="5">
        <v>70264.581935863491</v>
      </c>
      <c r="K1025" s="6">
        <v>4.9810759411216994E-3</v>
      </c>
      <c r="L1025" s="5">
        <v>441.46287731685783</v>
      </c>
      <c r="M1025" s="5">
        <v>1046.2323065607532</v>
      </c>
      <c r="N1025" s="11">
        <v>1692.3191791703441</v>
      </c>
      <c r="O1025" s="13">
        <v>2024</v>
      </c>
    </row>
    <row r="1026" spans="1:15" ht="14.5" customHeight="1" x14ac:dyDescent="0.35">
      <c r="A1026" s="20" t="s">
        <v>2046</v>
      </c>
      <c r="B1026" s="2" t="s">
        <v>2047</v>
      </c>
      <c r="C1026" s="17" t="s">
        <v>3109</v>
      </c>
      <c r="D1026" s="2" t="s">
        <v>272</v>
      </c>
      <c r="E1026" s="15" t="s">
        <v>273</v>
      </c>
      <c r="F1026" t="s">
        <v>208</v>
      </c>
      <c r="G1026" s="2" t="str">
        <f t="shared" si="16"/>
        <v>Large</v>
      </c>
      <c r="H1026" s="3">
        <v>12188</v>
      </c>
      <c r="I1026" s="4">
        <v>2.4</v>
      </c>
      <c r="J1026" s="5">
        <v>207898.99122087299</v>
      </c>
      <c r="K1026" s="6">
        <v>2.9303245578530704E-3</v>
      </c>
      <c r="L1026" s="5">
        <v>660.30956678700363</v>
      </c>
      <c r="M1026" s="5">
        <v>681.98318017722352</v>
      </c>
      <c r="N1026" s="11">
        <v>1263.375369215622</v>
      </c>
      <c r="O1026" s="13">
        <v>2024</v>
      </c>
    </row>
    <row r="1027" spans="1:15" ht="14.5" customHeight="1" x14ac:dyDescent="0.35">
      <c r="A1027" s="20" t="s">
        <v>2048</v>
      </c>
      <c r="B1027" s="2" t="s">
        <v>2049</v>
      </c>
      <c r="C1027" s="17" t="s">
        <v>3109</v>
      </c>
      <c r="D1027" s="2" t="s">
        <v>61</v>
      </c>
      <c r="E1027" s="15" t="s">
        <v>173</v>
      </c>
      <c r="F1027" t="s">
        <v>170</v>
      </c>
      <c r="G1027" s="2" t="str">
        <f t="shared" si="16"/>
        <v>Medium</v>
      </c>
      <c r="H1027" s="3">
        <v>1251</v>
      </c>
      <c r="I1027" s="4">
        <v>1.2</v>
      </c>
      <c r="J1027" s="5">
        <v>48707.736211031173</v>
      </c>
      <c r="K1027" s="6">
        <v>7.7412580014848348E-3</v>
      </c>
      <c r="L1027" s="5">
        <v>692.74660271782579</v>
      </c>
      <c r="M1027" s="5">
        <v>1869.9472422062349</v>
      </c>
      <c r="N1027" s="11">
        <v>989.78896882494007</v>
      </c>
      <c r="O1027" s="13">
        <v>2024</v>
      </c>
    </row>
    <row r="1028" spans="1:15" ht="14.5" customHeight="1" x14ac:dyDescent="0.35">
      <c r="A1028" s="20" t="s">
        <v>2050</v>
      </c>
      <c r="B1028" s="2" t="s">
        <v>2051</v>
      </c>
      <c r="C1028" s="17" t="s">
        <v>3109</v>
      </c>
      <c r="D1028" s="2" t="s">
        <v>89</v>
      </c>
      <c r="E1028" s="15" t="s">
        <v>183</v>
      </c>
      <c r="F1028" t="s">
        <v>170</v>
      </c>
      <c r="G1028" s="2" t="str">
        <f t="shared" si="16"/>
        <v>Medium</v>
      </c>
      <c r="H1028" s="3">
        <v>7898</v>
      </c>
      <c r="I1028" s="4">
        <v>3.1</v>
      </c>
      <c r="J1028" s="5">
        <v>57152.026335781207</v>
      </c>
      <c r="K1028" s="6">
        <v>6.839817085086318E-3</v>
      </c>
      <c r="L1028" s="5">
        <v>519.80674601164856</v>
      </c>
      <c r="M1028" s="5">
        <v>17.443909850595087</v>
      </c>
      <c r="N1028" s="11">
        <v>855.77712205621674</v>
      </c>
      <c r="O1028" s="13">
        <v>2024</v>
      </c>
    </row>
    <row r="1029" spans="1:15" ht="14.5" customHeight="1" x14ac:dyDescent="0.35">
      <c r="A1029" s="20" t="s">
        <v>2052</v>
      </c>
      <c r="B1029" s="2" t="s">
        <v>2053</v>
      </c>
      <c r="C1029" s="17" t="s">
        <v>3109</v>
      </c>
      <c r="D1029" s="2" t="s">
        <v>51</v>
      </c>
      <c r="E1029" s="15" t="s">
        <v>217</v>
      </c>
      <c r="F1029" t="s">
        <v>170</v>
      </c>
      <c r="G1029" s="2" t="str">
        <f t="shared" si="16"/>
        <v>Medium</v>
      </c>
      <c r="H1029" s="3">
        <v>5111</v>
      </c>
      <c r="I1029" s="4">
        <v>1.6</v>
      </c>
      <c r="J1029" s="5">
        <v>88746.013500293484</v>
      </c>
      <c r="K1029" s="6">
        <v>4.1507504036628531E-3</v>
      </c>
      <c r="L1029" s="5">
        <v>683.73077675601644</v>
      </c>
      <c r="M1029" s="5">
        <v>175.88045392291136</v>
      </c>
      <c r="N1029" s="11">
        <v>1585.2942672666798</v>
      </c>
      <c r="O1029" s="13">
        <v>2024</v>
      </c>
    </row>
    <row r="1030" spans="1:15" ht="14.5" customHeight="1" x14ac:dyDescent="0.35">
      <c r="A1030" s="20" t="s">
        <v>2054</v>
      </c>
      <c r="B1030" s="2" t="s">
        <v>2055</v>
      </c>
      <c r="C1030" s="17" t="s">
        <v>3109</v>
      </c>
      <c r="D1030" s="2" t="s">
        <v>48</v>
      </c>
      <c r="E1030" s="15" t="s">
        <v>186</v>
      </c>
      <c r="F1030" t="s">
        <v>170</v>
      </c>
      <c r="G1030" s="2" t="str">
        <f t="shared" si="16"/>
        <v>Small</v>
      </c>
      <c r="H1030" s="3">
        <v>575</v>
      </c>
      <c r="I1030" s="4">
        <v>0.4</v>
      </c>
      <c r="J1030" s="5">
        <v>54634.669565217395</v>
      </c>
      <c r="K1030" s="6">
        <v>4.843764279633238E-3</v>
      </c>
      <c r="L1030" s="5">
        <v>639.19467826086952</v>
      </c>
      <c r="M1030" s="5">
        <v>1304.3478260869565</v>
      </c>
      <c r="N1030" s="11">
        <v>1885.5574434782609</v>
      </c>
      <c r="O1030" s="13">
        <v>2024</v>
      </c>
    </row>
    <row r="1031" spans="1:15" ht="14.5" customHeight="1" x14ac:dyDescent="0.35">
      <c r="A1031" s="20" t="s">
        <v>2056</v>
      </c>
      <c r="B1031" s="2" t="s">
        <v>2057</v>
      </c>
      <c r="C1031" s="17" t="s">
        <v>3109</v>
      </c>
      <c r="D1031" s="2" t="s">
        <v>18</v>
      </c>
      <c r="E1031" s="15" t="s">
        <v>173</v>
      </c>
      <c r="F1031" t="s">
        <v>170</v>
      </c>
      <c r="G1031" s="2" t="str">
        <f t="shared" si="16"/>
        <v>Medium</v>
      </c>
      <c r="H1031" s="3">
        <v>5571</v>
      </c>
      <c r="I1031" s="4">
        <v>3.2</v>
      </c>
      <c r="J1031" s="5">
        <v>44111.631484473168</v>
      </c>
      <c r="K1031" s="6">
        <v>1.2323762114947847E-2</v>
      </c>
      <c r="L1031" s="5">
        <v>753.00323101777064</v>
      </c>
      <c r="M1031" s="5">
        <v>1999.8743816190988</v>
      </c>
      <c r="N1031" s="11">
        <v>2633.0217196194581</v>
      </c>
      <c r="O1031" s="13">
        <v>2024</v>
      </c>
    </row>
    <row r="1032" spans="1:15" ht="14.5" customHeight="1" x14ac:dyDescent="0.35">
      <c r="A1032" s="20" t="s">
        <v>2058</v>
      </c>
      <c r="B1032" s="2" t="s">
        <v>2059</v>
      </c>
      <c r="C1032" s="17" t="s">
        <v>3109</v>
      </c>
      <c r="D1032" s="2" t="s">
        <v>30</v>
      </c>
      <c r="E1032" s="15" t="s">
        <v>273</v>
      </c>
      <c r="F1032" t="s">
        <v>208</v>
      </c>
      <c r="G1032" s="2" t="str">
        <f t="shared" si="16"/>
        <v>Small</v>
      </c>
      <c r="H1032" s="3">
        <v>991</v>
      </c>
      <c r="I1032" s="4">
        <v>0.2</v>
      </c>
      <c r="J1032" s="5">
        <v>391200.13420787081</v>
      </c>
      <c r="K1032" s="6">
        <v>1.7490253987823489E-3</v>
      </c>
      <c r="L1032" s="5">
        <v>718.93743693239151</v>
      </c>
      <c r="M1032" s="5">
        <v>0</v>
      </c>
      <c r="N1032" s="11">
        <v>977.01412714429864</v>
      </c>
      <c r="O1032" s="13">
        <v>2024</v>
      </c>
    </row>
    <row r="1033" spans="1:15" ht="14.5" customHeight="1" x14ac:dyDescent="0.35">
      <c r="A1033" s="20" t="s">
        <v>2060</v>
      </c>
      <c r="B1033" s="2" t="s">
        <v>2061</v>
      </c>
      <c r="C1033" s="17" t="s">
        <v>3109</v>
      </c>
      <c r="D1033" s="2" t="s">
        <v>30</v>
      </c>
      <c r="E1033" s="15" t="s">
        <v>273</v>
      </c>
      <c r="F1033" t="s">
        <v>208</v>
      </c>
      <c r="G1033" s="2" t="str">
        <f t="shared" si="16"/>
        <v>Medium</v>
      </c>
      <c r="H1033" s="3">
        <v>6748</v>
      </c>
      <c r="I1033" s="4">
        <v>1.5</v>
      </c>
      <c r="J1033" s="5">
        <v>169883.12581505632</v>
      </c>
      <c r="K1033" s="6">
        <v>4.7159752990787668E-3</v>
      </c>
      <c r="L1033" s="5">
        <v>851.30580171902784</v>
      </c>
      <c r="M1033" s="5">
        <v>65.437125074096031</v>
      </c>
      <c r="N1033" s="11">
        <v>1272.9197525192651</v>
      </c>
      <c r="O1033" s="13">
        <v>2024</v>
      </c>
    </row>
    <row r="1034" spans="1:15" ht="14.5" customHeight="1" x14ac:dyDescent="0.35">
      <c r="A1034" s="20" t="s">
        <v>2062</v>
      </c>
      <c r="B1034" s="2" t="s">
        <v>2063</v>
      </c>
      <c r="C1034" s="17" t="s">
        <v>3109</v>
      </c>
      <c r="D1034" s="2" t="s">
        <v>272</v>
      </c>
      <c r="E1034" s="15" t="s">
        <v>273</v>
      </c>
      <c r="F1034" t="s">
        <v>208</v>
      </c>
      <c r="G1034" s="2" t="str">
        <f t="shared" si="16"/>
        <v>Small</v>
      </c>
      <c r="H1034" s="3">
        <v>808</v>
      </c>
      <c r="I1034" s="4">
        <v>0.9</v>
      </c>
      <c r="J1034" s="5">
        <v>470666.35643564357</v>
      </c>
      <c r="K1034" s="6">
        <v>2.7897670759690989E-3</v>
      </c>
      <c r="L1034" s="5">
        <v>1365.3762376237623</v>
      </c>
      <c r="M1034" s="5">
        <v>0</v>
      </c>
      <c r="N1034" s="11">
        <v>2301.40099009901</v>
      </c>
      <c r="O1034" s="13">
        <v>2024</v>
      </c>
    </row>
    <row r="1035" spans="1:15" ht="14.5" customHeight="1" x14ac:dyDescent="0.35">
      <c r="A1035" s="20" t="s">
        <v>2064</v>
      </c>
      <c r="B1035" s="2" t="s">
        <v>2065</v>
      </c>
      <c r="C1035" s="17" t="s">
        <v>3109</v>
      </c>
      <c r="D1035" s="2" t="s">
        <v>30</v>
      </c>
      <c r="E1035" s="15" t="s">
        <v>273</v>
      </c>
      <c r="F1035" t="s">
        <v>208</v>
      </c>
      <c r="G1035" s="2" t="str">
        <f t="shared" si="16"/>
        <v>Medium</v>
      </c>
      <c r="H1035" s="3">
        <v>1173</v>
      </c>
      <c r="I1035" s="4">
        <v>0.1</v>
      </c>
      <c r="J1035" s="5">
        <v>275520.87638533674</v>
      </c>
      <c r="K1035" s="6">
        <v>4.6661490782205573E-3</v>
      </c>
      <c r="L1035" s="5">
        <v>1335.9556692242115</v>
      </c>
      <c r="M1035" s="5">
        <v>319.69309462915601</v>
      </c>
      <c r="N1035" s="11">
        <v>2084.9292412617219</v>
      </c>
      <c r="O1035" s="13">
        <v>2024</v>
      </c>
    </row>
    <row r="1036" spans="1:15" ht="14.5" customHeight="1" x14ac:dyDescent="0.35">
      <c r="A1036" s="20" t="s">
        <v>2066</v>
      </c>
      <c r="B1036" s="2" t="s">
        <v>2067</v>
      </c>
      <c r="C1036" s="17" t="s">
        <v>3109</v>
      </c>
      <c r="D1036" s="2" t="s">
        <v>272</v>
      </c>
      <c r="E1036" s="15" t="s">
        <v>273</v>
      </c>
      <c r="F1036" t="s">
        <v>208</v>
      </c>
      <c r="G1036" s="2" t="str">
        <f t="shared" si="16"/>
        <v>Medium</v>
      </c>
      <c r="H1036" s="3">
        <v>2203</v>
      </c>
      <c r="I1036" s="4">
        <v>1.5</v>
      </c>
      <c r="J1036" s="5">
        <v>310180.72401270992</v>
      </c>
      <c r="K1036" s="6">
        <v>4.6577725063230426E-3</v>
      </c>
      <c r="L1036" s="5">
        <v>1509.7743985474353</v>
      </c>
      <c r="M1036" s="5">
        <v>1609.6672719019518</v>
      </c>
      <c r="N1036" s="11">
        <v>3697.5442578302313</v>
      </c>
      <c r="O1036" s="13">
        <v>2024</v>
      </c>
    </row>
    <row r="1037" spans="1:15" ht="14.5" customHeight="1" x14ac:dyDescent="0.35">
      <c r="A1037" s="20" t="s">
        <v>2068</v>
      </c>
      <c r="B1037" s="2" t="s">
        <v>2069</v>
      </c>
      <c r="C1037" s="17" t="s">
        <v>3109</v>
      </c>
      <c r="D1037" s="2" t="s">
        <v>193</v>
      </c>
      <c r="E1037" s="15" t="s">
        <v>186</v>
      </c>
      <c r="F1037" t="s">
        <v>170</v>
      </c>
      <c r="G1037" s="2" t="str">
        <f t="shared" si="16"/>
        <v>Small</v>
      </c>
      <c r="H1037" s="3">
        <v>856</v>
      </c>
      <c r="I1037" s="4">
        <v>1</v>
      </c>
      <c r="J1037" s="5">
        <v>31840.797897196262</v>
      </c>
      <c r="K1037" s="6">
        <v>1.2116817814739311E-2</v>
      </c>
      <c r="L1037" s="5">
        <v>411.51901869158883</v>
      </c>
      <c r="M1037" s="5">
        <v>2822.141355140187</v>
      </c>
      <c r="N1037" s="11">
        <v>1253.9008411214954</v>
      </c>
      <c r="O1037" s="13">
        <v>2024</v>
      </c>
    </row>
    <row r="1038" spans="1:15" ht="14.5" customHeight="1" x14ac:dyDescent="0.35">
      <c r="A1038" s="20" t="s">
        <v>2070</v>
      </c>
      <c r="B1038" s="2" t="s">
        <v>2071</v>
      </c>
      <c r="C1038" s="17" t="s">
        <v>3109</v>
      </c>
      <c r="D1038" s="2" t="s">
        <v>22</v>
      </c>
      <c r="E1038" s="15" t="s">
        <v>186</v>
      </c>
      <c r="F1038" t="s">
        <v>170</v>
      </c>
      <c r="G1038" s="2" t="str">
        <f t="shared" si="16"/>
        <v>Small</v>
      </c>
      <c r="H1038" s="3">
        <v>306</v>
      </c>
      <c r="I1038" s="4">
        <v>0.4</v>
      </c>
      <c r="J1038" s="5">
        <v>291856.85620915034</v>
      </c>
      <c r="K1038" s="6" t="s">
        <v>27</v>
      </c>
      <c r="L1038" s="5">
        <v>0</v>
      </c>
      <c r="M1038" s="5">
        <v>0</v>
      </c>
      <c r="N1038" s="11">
        <v>0</v>
      </c>
      <c r="O1038" s="13">
        <v>2024</v>
      </c>
    </row>
    <row r="1039" spans="1:15" ht="14.5" customHeight="1" x14ac:dyDescent="0.35">
      <c r="A1039" s="20" t="s">
        <v>2072</v>
      </c>
      <c r="B1039" s="2" t="s">
        <v>2073</v>
      </c>
      <c r="C1039" s="17" t="s">
        <v>3109</v>
      </c>
      <c r="D1039" s="2" t="s">
        <v>7</v>
      </c>
      <c r="E1039" s="15" t="s">
        <v>178</v>
      </c>
      <c r="F1039" t="s">
        <v>170</v>
      </c>
      <c r="G1039" s="2" t="str">
        <f t="shared" si="16"/>
        <v>Medium</v>
      </c>
      <c r="H1039" s="3">
        <v>1208</v>
      </c>
      <c r="I1039" s="4">
        <v>0.7</v>
      </c>
      <c r="J1039" s="5">
        <v>49166.182119205296</v>
      </c>
      <c r="K1039" s="6">
        <v>5.019821611891068E-3</v>
      </c>
      <c r="L1039" s="5">
        <v>462.4246688741722</v>
      </c>
      <c r="M1039" s="5">
        <v>2197.1251903973512</v>
      </c>
      <c r="N1039" s="11">
        <v>3987.9489900662252</v>
      </c>
      <c r="O1039" s="13">
        <v>2024</v>
      </c>
    </row>
    <row r="1040" spans="1:15" ht="14.5" customHeight="1" x14ac:dyDescent="0.35">
      <c r="A1040" s="20" t="s">
        <v>2074</v>
      </c>
      <c r="B1040" s="2" t="s">
        <v>2075</v>
      </c>
      <c r="C1040" s="17" t="s">
        <v>3109</v>
      </c>
      <c r="D1040" s="2" t="s">
        <v>94</v>
      </c>
      <c r="E1040" s="15" t="s">
        <v>169</v>
      </c>
      <c r="F1040" t="s">
        <v>170</v>
      </c>
      <c r="G1040" s="2" t="str">
        <f t="shared" si="16"/>
        <v>Medium</v>
      </c>
      <c r="H1040" s="3">
        <v>1232</v>
      </c>
      <c r="I1040" s="4">
        <v>1.8</v>
      </c>
      <c r="J1040" s="5">
        <v>75614.854707792212</v>
      </c>
      <c r="K1040" s="6">
        <v>6.2031397772252389E-3</v>
      </c>
      <c r="L1040" s="5">
        <v>762.88961038961043</v>
      </c>
      <c r="M1040" s="5">
        <v>1379.0691883116883</v>
      </c>
      <c r="N1040" s="11">
        <v>1379.153409090909</v>
      </c>
      <c r="O1040" s="13">
        <v>2024</v>
      </c>
    </row>
    <row r="1041" spans="1:15" ht="14.5" customHeight="1" x14ac:dyDescent="0.35">
      <c r="A1041" s="20" t="s">
        <v>2076</v>
      </c>
      <c r="B1041" s="2" t="s">
        <v>2077</v>
      </c>
      <c r="C1041" s="17" t="s">
        <v>3109</v>
      </c>
      <c r="D1041" s="2" t="s">
        <v>13</v>
      </c>
      <c r="E1041" s="15" t="s">
        <v>186</v>
      </c>
      <c r="F1041" t="s">
        <v>170</v>
      </c>
      <c r="G1041" s="2" t="str">
        <f t="shared" si="16"/>
        <v>Medium</v>
      </c>
      <c r="H1041" s="3">
        <v>2539</v>
      </c>
      <c r="I1041" s="4">
        <v>1.1000000000000001</v>
      </c>
      <c r="J1041" s="5">
        <v>71924.376526191409</v>
      </c>
      <c r="K1041" s="6">
        <v>8.1319822198266199E-3</v>
      </c>
      <c r="L1041" s="5">
        <v>752.21425758172506</v>
      </c>
      <c r="M1041" s="5">
        <v>317.05395825128005</v>
      </c>
      <c r="N1041" s="11">
        <v>1146.3032690035448</v>
      </c>
      <c r="O1041" s="13">
        <v>2024</v>
      </c>
    </row>
    <row r="1042" spans="1:15" ht="14.5" customHeight="1" x14ac:dyDescent="0.35">
      <c r="A1042" s="20" t="s">
        <v>2078</v>
      </c>
      <c r="B1042" s="2" t="s">
        <v>2079</v>
      </c>
      <c r="C1042" s="17" t="s">
        <v>3109</v>
      </c>
      <c r="D1042" s="2" t="s">
        <v>15</v>
      </c>
      <c r="E1042" s="15" t="s">
        <v>178</v>
      </c>
      <c r="F1042" t="s">
        <v>170</v>
      </c>
      <c r="G1042" s="2" t="str">
        <f t="shared" si="16"/>
        <v>Medium</v>
      </c>
      <c r="H1042" s="3">
        <v>1277</v>
      </c>
      <c r="I1042" s="4">
        <v>1.4</v>
      </c>
      <c r="J1042" s="5">
        <v>69175.332811276428</v>
      </c>
      <c r="K1042" s="6">
        <v>2.0876888367148947E-3</v>
      </c>
      <c r="L1042" s="5">
        <v>540.09110415035241</v>
      </c>
      <c r="M1042" s="5">
        <v>2607.6742364917777</v>
      </c>
      <c r="N1042" s="11">
        <v>1575.9267423649178</v>
      </c>
      <c r="O1042" s="13">
        <v>2024</v>
      </c>
    </row>
    <row r="1043" spans="1:15" ht="14.5" customHeight="1" x14ac:dyDescent="0.35">
      <c r="A1043" s="20" t="s">
        <v>2080</v>
      </c>
      <c r="B1043" s="2" t="s">
        <v>2081</v>
      </c>
      <c r="C1043" s="17" t="s">
        <v>3109</v>
      </c>
      <c r="D1043" s="2" t="s">
        <v>324</v>
      </c>
      <c r="E1043" s="15" t="s">
        <v>207</v>
      </c>
      <c r="F1043" t="s">
        <v>208</v>
      </c>
      <c r="G1043" s="2" t="str">
        <f t="shared" si="16"/>
        <v>Medium</v>
      </c>
      <c r="H1043" s="3">
        <v>1032</v>
      </c>
      <c r="I1043" s="4">
        <v>0.3</v>
      </c>
      <c r="J1043" s="5">
        <v>96099.124031007756</v>
      </c>
      <c r="K1043" s="6" t="s">
        <v>27</v>
      </c>
      <c r="L1043" s="5">
        <v>0</v>
      </c>
      <c r="M1043" s="5">
        <v>0</v>
      </c>
      <c r="N1043" s="11">
        <v>0</v>
      </c>
      <c r="O1043" s="13">
        <v>2024</v>
      </c>
    </row>
    <row r="1044" spans="1:15" ht="14.5" customHeight="1" x14ac:dyDescent="0.35">
      <c r="A1044" s="20" t="s">
        <v>2082</v>
      </c>
      <c r="B1044" s="2" t="s">
        <v>2083</v>
      </c>
      <c r="C1044" s="17" t="s">
        <v>3109</v>
      </c>
      <c r="D1044" s="2" t="s">
        <v>193</v>
      </c>
      <c r="E1044" s="15" t="s">
        <v>186</v>
      </c>
      <c r="F1044" t="s">
        <v>170</v>
      </c>
      <c r="G1044" s="2" t="str">
        <f t="shared" si="16"/>
        <v>Medium</v>
      </c>
      <c r="H1044" s="3">
        <v>1010</v>
      </c>
      <c r="I1044" s="4">
        <v>0.8</v>
      </c>
      <c r="J1044" s="5">
        <v>33180.089108910892</v>
      </c>
      <c r="K1044" s="6">
        <v>1.280393317118193E-2</v>
      </c>
      <c r="L1044" s="5">
        <v>433.3217821782178</v>
      </c>
      <c r="M1044" s="5">
        <v>2879.2079207920792</v>
      </c>
      <c r="N1044" s="11">
        <v>3186.1207920792081</v>
      </c>
      <c r="O1044" s="13">
        <v>2024</v>
      </c>
    </row>
    <row r="1045" spans="1:15" ht="14.5" customHeight="1" x14ac:dyDescent="0.35">
      <c r="A1045" s="20" t="s">
        <v>2084</v>
      </c>
      <c r="B1045" s="2" t="s">
        <v>2085</v>
      </c>
      <c r="C1045" s="17" t="s">
        <v>3109</v>
      </c>
      <c r="D1045" s="2" t="s">
        <v>81</v>
      </c>
      <c r="E1045" s="15" t="s">
        <v>214</v>
      </c>
      <c r="F1045" t="s">
        <v>170</v>
      </c>
      <c r="G1045" s="2" t="str">
        <f t="shared" si="16"/>
        <v>Medium</v>
      </c>
      <c r="H1045" s="3">
        <v>2020</v>
      </c>
      <c r="I1045" s="4">
        <v>1.7</v>
      </c>
      <c r="J1045" s="5">
        <v>45381.557920792082</v>
      </c>
      <c r="K1045" s="6">
        <v>6.9919929855049604E-3</v>
      </c>
      <c r="L1045" s="5">
        <v>606.67140594059401</v>
      </c>
      <c r="M1045" s="5">
        <v>1311.4657128712872</v>
      </c>
      <c r="N1045" s="11">
        <v>2969.7963960396037</v>
      </c>
      <c r="O1045" s="13">
        <v>2024</v>
      </c>
    </row>
    <row r="1046" spans="1:15" ht="14.5" customHeight="1" x14ac:dyDescent="0.35">
      <c r="A1046" s="20" t="s">
        <v>2086</v>
      </c>
      <c r="B1046" s="2" t="s">
        <v>2087</v>
      </c>
      <c r="C1046" s="17" t="s">
        <v>3109</v>
      </c>
      <c r="D1046" s="2" t="s">
        <v>438</v>
      </c>
      <c r="E1046" s="15" t="s">
        <v>207</v>
      </c>
      <c r="F1046" t="s">
        <v>208</v>
      </c>
      <c r="G1046" s="2" t="str">
        <f t="shared" si="16"/>
        <v>Medium</v>
      </c>
      <c r="H1046" s="3">
        <v>2508</v>
      </c>
      <c r="I1046" s="4">
        <v>0.5</v>
      </c>
      <c r="J1046" s="5">
        <v>73549.770334928224</v>
      </c>
      <c r="K1046" s="6">
        <v>4.1611419762282295E-3</v>
      </c>
      <c r="L1046" s="5">
        <v>329.01156299840511</v>
      </c>
      <c r="M1046" s="5">
        <v>3310.1632575757576</v>
      </c>
      <c r="N1046" s="11">
        <v>2411.757177033493</v>
      </c>
      <c r="O1046" s="13">
        <v>2024</v>
      </c>
    </row>
    <row r="1047" spans="1:15" ht="14.5" customHeight="1" x14ac:dyDescent="0.35">
      <c r="A1047" s="20" t="s">
        <v>2088</v>
      </c>
      <c r="B1047" s="2" t="s">
        <v>2089</v>
      </c>
      <c r="C1047" s="17" t="s">
        <v>3109</v>
      </c>
      <c r="D1047" s="2" t="s">
        <v>55</v>
      </c>
      <c r="E1047" s="15" t="s">
        <v>207</v>
      </c>
      <c r="F1047" t="s">
        <v>208</v>
      </c>
      <c r="G1047" s="2" t="str">
        <f t="shared" si="16"/>
        <v>Medium</v>
      </c>
      <c r="H1047" s="3">
        <v>7569</v>
      </c>
      <c r="I1047" s="4">
        <v>6</v>
      </c>
      <c r="J1047" s="5">
        <v>303983.14902893378</v>
      </c>
      <c r="K1047" s="6">
        <v>6.0393303912751623E-3</v>
      </c>
      <c r="L1047" s="5">
        <v>2171.2720306513411</v>
      </c>
      <c r="M1047" s="5">
        <v>4871.1718853217071</v>
      </c>
      <c r="N1047" s="11">
        <v>4460.5751089972255</v>
      </c>
      <c r="O1047" s="13">
        <v>2024</v>
      </c>
    </row>
    <row r="1048" spans="1:15" ht="14.5" customHeight="1" x14ac:dyDescent="0.35">
      <c r="A1048" s="20" t="s">
        <v>2090</v>
      </c>
      <c r="B1048" s="2" t="s">
        <v>2091</v>
      </c>
      <c r="C1048" s="17" t="s">
        <v>3109</v>
      </c>
      <c r="D1048" s="2" t="s">
        <v>272</v>
      </c>
      <c r="E1048" s="15" t="s">
        <v>273</v>
      </c>
      <c r="F1048" t="s">
        <v>208</v>
      </c>
      <c r="G1048" s="2" t="str">
        <f t="shared" si="16"/>
        <v>Medium</v>
      </c>
      <c r="H1048" s="3">
        <v>3181</v>
      </c>
      <c r="I1048" s="4">
        <v>1</v>
      </c>
      <c r="J1048" s="5">
        <v>231059.11820182332</v>
      </c>
      <c r="K1048" s="6">
        <v>2.6639476427626155E-3</v>
      </c>
      <c r="L1048" s="5">
        <v>665.19113486325057</v>
      </c>
      <c r="M1048" s="5">
        <v>823.7925180760767</v>
      </c>
      <c r="N1048" s="11">
        <v>1198.3476894058472</v>
      </c>
      <c r="O1048" s="13">
        <v>2024</v>
      </c>
    </row>
    <row r="1049" spans="1:15" ht="14.5" customHeight="1" x14ac:dyDescent="0.35">
      <c r="A1049" s="20" t="s">
        <v>2092</v>
      </c>
      <c r="B1049" s="2" t="s">
        <v>2093</v>
      </c>
      <c r="C1049" s="17" t="s">
        <v>3109</v>
      </c>
      <c r="D1049" s="2" t="s">
        <v>34</v>
      </c>
      <c r="E1049" s="15" t="s">
        <v>214</v>
      </c>
      <c r="F1049" t="s">
        <v>170</v>
      </c>
      <c r="G1049" s="2" t="str">
        <f t="shared" si="16"/>
        <v>Medium</v>
      </c>
      <c r="H1049" s="3">
        <v>1384</v>
      </c>
      <c r="I1049" s="4">
        <v>1.1000000000000001</v>
      </c>
      <c r="J1049" s="5">
        <v>65034.094653179192</v>
      </c>
      <c r="K1049" s="6">
        <v>2.6770341128425669E-3</v>
      </c>
      <c r="L1049" s="5">
        <v>522.61084537572253</v>
      </c>
      <c r="M1049" s="5">
        <v>613.78395953757229</v>
      </c>
      <c r="N1049" s="11">
        <v>920.13322976878601</v>
      </c>
      <c r="O1049" s="13">
        <v>2024</v>
      </c>
    </row>
    <row r="1050" spans="1:15" ht="14.5" customHeight="1" x14ac:dyDescent="0.35">
      <c r="A1050" s="20" t="s">
        <v>2094</v>
      </c>
      <c r="B1050" s="2" t="s">
        <v>2095</v>
      </c>
      <c r="C1050" s="17" t="s">
        <v>3109</v>
      </c>
      <c r="D1050" s="2" t="s">
        <v>79</v>
      </c>
      <c r="E1050" s="15" t="s">
        <v>178</v>
      </c>
      <c r="F1050" t="s">
        <v>170</v>
      </c>
      <c r="G1050" s="2" t="str">
        <f t="shared" si="16"/>
        <v>Medium</v>
      </c>
      <c r="H1050" s="3">
        <v>7104</v>
      </c>
      <c r="I1050" s="4">
        <v>2.2000000000000002</v>
      </c>
      <c r="J1050" s="5">
        <v>43465.049971846849</v>
      </c>
      <c r="K1050" s="6">
        <v>1.1105961911544759E-2</v>
      </c>
      <c r="L1050" s="5">
        <v>785.94732545045042</v>
      </c>
      <c r="M1050" s="5">
        <v>145.98959037162163</v>
      </c>
      <c r="N1050" s="11">
        <v>1205.1967525337839</v>
      </c>
      <c r="O1050" s="13">
        <v>2024</v>
      </c>
    </row>
    <row r="1051" spans="1:15" ht="14.5" customHeight="1" x14ac:dyDescent="0.35">
      <c r="A1051" s="20" t="s">
        <v>2096</v>
      </c>
      <c r="B1051" s="2" t="s">
        <v>2097</v>
      </c>
      <c r="C1051" s="17" t="s">
        <v>3109</v>
      </c>
      <c r="D1051" s="2" t="s">
        <v>22</v>
      </c>
      <c r="E1051" s="15" t="s">
        <v>186</v>
      </c>
      <c r="F1051" t="s">
        <v>170</v>
      </c>
      <c r="G1051" s="2" t="str">
        <f t="shared" si="16"/>
        <v>Medium</v>
      </c>
      <c r="H1051" s="3">
        <v>1286</v>
      </c>
      <c r="I1051" s="4">
        <v>1.7</v>
      </c>
      <c r="J1051" s="5">
        <v>46381.440902021772</v>
      </c>
      <c r="K1051" s="6">
        <v>4.4078504948477058E-3</v>
      </c>
      <c r="L1051" s="5">
        <v>408.36236391912911</v>
      </c>
      <c r="M1051" s="5">
        <v>5231.6594090202179</v>
      </c>
      <c r="N1051" s="11">
        <v>1664.9447900466564</v>
      </c>
      <c r="O1051" s="13">
        <v>2024</v>
      </c>
    </row>
    <row r="1052" spans="1:15" ht="14.5" customHeight="1" x14ac:dyDescent="0.35">
      <c r="A1052" s="20" t="s">
        <v>2098</v>
      </c>
      <c r="B1052" s="2" t="s">
        <v>2099</v>
      </c>
      <c r="C1052" s="17" t="s">
        <v>3109</v>
      </c>
      <c r="D1052" s="2" t="s">
        <v>55</v>
      </c>
      <c r="E1052" s="15" t="s">
        <v>207</v>
      </c>
      <c r="F1052" t="s">
        <v>208</v>
      </c>
      <c r="G1052" s="2" t="str">
        <f t="shared" si="16"/>
        <v>Medium</v>
      </c>
      <c r="H1052" s="3">
        <v>6656</v>
      </c>
      <c r="I1052" s="4">
        <v>1</v>
      </c>
      <c r="J1052" s="5">
        <v>496174.47415865387</v>
      </c>
      <c r="K1052" s="6">
        <v>3.5862014639471292E-3</v>
      </c>
      <c r="L1052" s="5">
        <v>2125.8944831730769</v>
      </c>
      <c r="M1052" s="5">
        <v>3653.8461538461538</v>
      </c>
      <c r="N1052" s="11">
        <v>3347.0325585937503</v>
      </c>
      <c r="O1052" s="13">
        <v>2024</v>
      </c>
    </row>
    <row r="1053" spans="1:15" ht="14.5" customHeight="1" x14ac:dyDescent="0.35">
      <c r="A1053" s="20" t="s">
        <v>2100</v>
      </c>
      <c r="B1053" s="2" t="s">
        <v>2101</v>
      </c>
      <c r="C1053" s="17" t="s">
        <v>3109</v>
      </c>
      <c r="D1053" s="2" t="s">
        <v>30</v>
      </c>
      <c r="E1053" s="15" t="s">
        <v>273</v>
      </c>
      <c r="F1053" t="s">
        <v>208</v>
      </c>
      <c r="G1053" s="2" t="str">
        <f t="shared" si="16"/>
        <v>Medium</v>
      </c>
      <c r="H1053" s="3">
        <v>2939</v>
      </c>
      <c r="I1053" s="4">
        <v>3.9</v>
      </c>
      <c r="J1053" s="5">
        <v>540960.26607689692</v>
      </c>
      <c r="K1053" s="6">
        <v>2.1061094675225572E-3</v>
      </c>
      <c r="L1053" s="5">
        <v>1261.1486900306227</v>
      </c>
      <c r="M1053" s="5">
        <v>0</v>
      </c>
      <c r="N1053" s="11">
        <v>1780.9547465124192</v>
      </c>
      <c r="O1053" s="13">
        <v>2024</v>
      </c>
    </row>
    <row r="1054" spans="1:15" ht="14.5" customHeight="1" x14ac:dyDescent="0.35">
      <c r="A1054" s="20" t="s">
        <v>2102</v>
      </c>
      <c r="B1054" s="2" t="s">
        <v>2103</v>
      </c>
      <c r="C1054" s="17" t="s">
        <v>3109</v>
      </c>
      <c r="D1054" s="2" t="s">
        <v>94</v>
      </c>
      <c r="E1054" s="15" t="s">
        <v>169</v>
      </c>
      <c r="F1054" t="s">
        <v>170</v>
      </c>
      <c r="G1054" s="2" t="str">
        <f t="shared" si="16"/>
        <v>Small</v>
      </c>
      <c r="H1054" s="3">
        <v>930</v>
      </c>
      <c r="I1054" s="4">
        <v>0.7</v>
      </c>
      <c r="J1054" s="5">
        <v>65918.513978494622</v>
      </c>
      <c r="K1054" s="6">
        <v>5.8165271759930129E-3</v>
      </c>
      <c r="L1054" s="5">
        <v>652.10405376344079</v>
      </c>
      <c r="M1054" s="5">
        <v>338.70967741935482</v>
      </c>
      <c r="N1054" s="11">
        <v>1423.5722365591398</v>
      </c>
      <c r="O1054" s="13">
        <v>2024</v>
      </c>
    </row>
    <row r="1055" spans="1:15" ht="14.5" customHeight="1" x14ac:dyDescent="0.35">
      <c r="A1055" s="20" t="s">
        <v>2104</v>
      </c>
      <c r="B1055" s="2" t="s">
        <v>2105</v>
      </c>
      <c r="C1055" s="17" t="s">
        <v>3109</v>
      </c>
      <c r="D1055" s="2" t="s">
        <v>282</v>
      </c>
      <c r="E1055" s="15" t="s">
        <v>169</v>
      </c>
      <c r="F1055" t="s">
        <v>170</v>
      </c>
      <c r="G1055" s="2" t="str">
        <f t="shared" si="16"/>
        <v>Small</v>
      </c>
      <c r="H1055" s="3">
        <v>443</v>
      </c>
      <c r="I1055" s="4">
        <v>0.3</v>
      </c>
      <c r="J1055" s="5">
        <v>31289.08803611738</v>
      </c>
      <c r="K1055" s="6" t="s">
        <v>27</v>
      </c>
      <c r="L1055" s="5">
        <v>0</v>
      </c>
      <c r="M1055" s="5">
        <v>0</v>
      </c>
      <c r="N1055" s="11">
        <v>0</v>
      </c>
      <c r="O1055" s="13">
        <v>2024</v>
      </c>
    </row>
    <row r="1056" spans="1:15" ht="14.5" customHeight="1" x14ac:dyDescent="0.35">
      <c r="A1056" s="20" t="s">
        <v>2106</v>
      </c>
      <c r="B1056" s="2" t="s">
        <v>2107</v>
      </c>
      <c r="C1056" s="17" t="s">
        <v>3109</v>
      </c>
      <c r="D1056" s="2" t="s">
        <v>55</v>
      </c>
      <c r="E1056" s="15" t="s">
        <v>207</v>
      </c>
      <c r="F1056" t="s">
        <v>208</v>
      </c>
      <c r="G1056" s="2" t="str">
        <f t="shared" si="16"/>
        <v>Medium</v>
      </c>
      <c r="H1056" s="3">
        <v>2302</v>
      </c>
      <c r="I1056" s="4">
        <v>1.4</v>
      </c>
      <c r="J1056" s="5">
        <v>205255.30755864465</v>
      </c>
      <c r="K1056" s="6">
        <v>9.3769066626476286E-3</v>
      </c>
      <c r="L1056" s="5">
        <v>2739.2241529105127</v>
      </c>
      <c r="M1056" s="5">
        <v>878.30582102519543</v>
      </c>
      <c r="N1056" s="11">
        <v>4108.6867940920938</v>
      </c>
      <c r="O1056" s="13">
        <v>2024</v>
      </c>
    </row>
    <row r="1057" spans="1:15" ht="14.5" customHeight="1" x14ac:dyDescent="0.35">
      <c r="A1057" s="20" t="s">
        <v>2108</v>
      </c>
      <c r="B1057" s="2" t="s">
        <v>2109</v>
      </c>
      <c r="C1057" s="17" t="s">
        <v>3109</v>
      </c>
      <c r="D1057" s="2" t="s">
        <v>451</v>
      </c>
      <c r="E1057" s="15" t="s">
        <v>173</v>
      </c>
      <c r="F1057" t="s">
        <v>170</v>
      </c>
      <c r="G1057" s="2" t="str">
        <f t="shared" si="16"/>
        <v>Small</v>
      </c>
      <c r="H1057" s="3">
        <v>331</v>
      </c>
      <c r="I1057" s="4">
        <v>1</v>
      </c>
      <c r="J1057" s="5">
        <v>65851.658610271901</v>
      </c>
      <c r="K1057" s="6">
        <v>4.0138393080593714E-3</v>
      </c>
      <c r="L1057" s="5">
        <v>347.16250755287007</v>
      </c>
      <c r="M1057" s="5">
        <v>7755.1884592145016</v>
      </c>
      <c r="N1057" s="11">
        <v>1492.4962839879154</v>
      </c>
      <c r="O1057" s="13">
        <v>2024</v>
      </c>
    </row>
    <row r="1058" spans="1:15" ht="14.5" customHeight="1" x14ac:dyDescent="0.35">
      <c r="A1058" s="20" t="s">
        <v>2110</v>
      </c>
      <c r="B1058" s="2" t="s">
        <v>2111</v>
      </c>
      <c r="C1058" s="17" t="s">
        <v>3109</v>
      </c>
      <c r="D1058" s="2" t="s">
        <v>282</v>
      </c>
      <c r="E1058" s="15" t="s">
        <v>169</v>
      </c>
      <c r="F1058" t="s">
        <v>170</v>
      </c>
      <c r="G1058" s="2" t="str">
        <f t="shared" si="16"/>
        <v>Small</v>
      </c>
      <c r="H1058" s="3">
        <v>160</v>
      </c>
      <c r="I1058" s="4">
        <v>0.3</v>
      </c>
      <c r="J1058" s="5">
        <v>45787.981249999997</v>
      </c>
      <c r="K1058" s="6" t="s">
        <v>27</v>
      </c>
      <c r="L1058" s="5">
        <v>0</v>
      </c>
      <c r="M1058" s="5">
        <v>0</v>
      </c>
      <c r="N1058" s="11">
        <v>0</v>
      </c>
      <c r="O1058" s="13">
        <v>2024</v>
      </c>
    </row>
    <row r="1059" spans="1:15" ht="14.5" customHeight="1" x14ac:dyDescent="0.35">
      <c r="A1059" s="20" t="s">
        <v>2112</v>
      </c>
      <c r="B1059" s="2" t="s">
        <v>2113</v>
      </c>
      <c r="C1059" s="17" t="s">
        <v>3109</v>
      </c>
      <c r="D1059" s="2" t="s">
        <v>269</v>
      </c>
      <c r="E1059" s="15" t="s">
        <v>178</v>
      </c>
      <c r="F1059" t="s">
        <v>170</v>
      </c>
      <c r="G1059" s="2" t="str">
        <f t="shared" si="16"/>
        <v>Medium</v>
      </c>
      <c r="H1059" s="3">
        <v>2080</v>
      </c>
      <c r="I1059" s="4">
        <v>2.1</v>
      </c>
      <c r="J1059" s="5">
        <v>68613.410576923081</v>
      </c>
      <c r="K1059" s="6">
        <v>7.4570741223819121E-3</v>
      </c>
      <c r="L1059" s="5">
        <v>574.95288461538462</v>
      </c>
      <c r="M1059" s="5">
        <v>19.23076923076923</v>
      </c>
      <c r="N1059" s="11">
        <v>974.8658653846154</v>
      </c>
      <c r="O1059" s="13">
        <v>2024</v>
      </c>
    </row>
    <row r="1060" spans="1:15" ht="14.5" customHeight="1" x14ac:dyDescent="0.35">
      <c r="A1060" s="20" t="s">
        <v>2114</v>
      </c>
      <c r="B1060" s="2" t="s">
        <v>2115</v>
      </c>
      <c r="C1060" s="17" t="s">
        <v>3109</v>
      </c>
      <c r="D1060" s="2" t="s">
        <v>237</v>
      </c>
      <c r="E1060" s="15" t="s">
        <v>217</v>
      </c>
      <c r="F1060" t="s">
        <v>170</v>
      </c>
      <c r="G1060" s="2" t="str">
        <f t="shared" si="16"/>
        <v>Medium</v>
      </c>
      <c r="H1060" s="3">
        <v>1788</v>
      </c>
      <c r="I1060" s="4">
        <v>1.7</v>
      </c>
      <c r="J1060" s="5">
        <v>68411.416107382553</v>
      </c>
      <c r="K1060" s="6">
        <v>9.047308129133045E-3</v>
      </c>
      <c r="L1060" s="5">
        <v>681.72710850111844</v>
      </c>
      <c r="M1060" s="5">
        <v>2227.6238590604025</v>
      </c>
      <c r="N1060" s="11">
        <v>1355.0293959731544</v>
      </c>
      <c r="O1060" s="13">
        <v>2024</v>
      </c>
    </row>
    <row r="1061" spans="1:15" ht="14.5" customHeight="1" x14ac:dyDescent="0.35">
      <c r="A1061" s="20" t="s">
        <v>2116</v>
      </c>
      <c r="B1061" s="2" t="s">
        <v>2117</v>
      </c>
      <c r="C1061" s="17" t="s">
        <v>3109</v>
      </c>
      <c r="D1061" s="2" t="s">
        <v>81</v>
      </c>
      <c r="E1061" s="15" t="s">
        <v>214</v>
      </c>
      <c r="F1061" t="s">
        <v>170</v>
      </c>
      <c r="G1061" s="2" t="str">
        <f t="shared" ref="G1061:G1124" si="17">IF(H1061&lt;=1000,"Small",IF(H1061&lt;=11000,"Medium",IF(H1061&gt;=11000,"Large")))</f>
        <v>Medium</v>
      </c>
      <c r="H1061" s="3">
        <v>2196</v>
      </c>
      <c r="I1061" s="4">
        <v>2.4</v>
      </c>
      <c r="J1061" s="5">
        <v>47962.290528233149</v>
      </c>
      <c r="K1061" s="6">
        <v>5.4587701194747434E-3</v>
      </c>
      <c r="L1061" s="5">
        <v>505.82058287795991</v>
      </c>
      <c r="M1061" s="5">
        <v>0</v>
      </c>
      <c r="N1061" s="11">
        <v>1639.7108378870673</v>
      </c>
      <c r="O1061" s="13">
        <v>2024</v>
      </c>
    </row>
    <row r="1062" spans="1:15" ht="14.5" customHeight="1" x14ac:dyDescent="0.35">
      <c r="A1062" s="20" t="s">
        <v>2118</v>
      </c>
      <c r="B1062" s="2" t="s">
        <v>2119</v>
      </c>
      <c r="C1062" s="17" t="s">
        <v>3109</v>
      </c>
      <c r="D1062" s="2" t="s">
        <v>89</v>
      </c>
      <c r="E1062" s="15" t="s">
        <v>183</v>
      </c>
      <c r="F1062" t="s">
        <v>170</v>
      </c>
      <c r="G1062" s="2" t="str">
        <f t="shared" si="17"/>
        <v>Medium</v>
      </c>
      <c r="H1062" s="3">
        <v>1222</v>
      </c>
      <c r="I1062" s="4">
        <v>0.4</v>
      </c>
      <c r="J1062" s="5">
        <v>52610.563829787236</v>
      </c>
      <c r="K1062" s="6">
        <v>5.8061186363830867E-3</v>
      </c>
      <c r="L1062" s="5">
        <v>590.51063829787233</v>
      </c>
      <c r="M1062" s="5">
        <v>743.93072013093285</v>
      </c>
      <c r="N1062" s="11">
        <v>1755.144844517185</v>
      </c>
      <c r="O1062" s="13">
        <v>2024</v>
      </c>
    </row>
    <row r="1063" spans="1:15" ht="14.5" customHeight="1" x14ac:dyDescent="0.35">
      <c r="A1063" s="20" t="s">
        <v>2120</v>
      </c>
      <c r="B1063" s="2" t="s">
        <v>2121</v>
      </c>
      <c r="C1063" s="17" t="s">
        <v>3109</v>
      </c>
      <c r="D1063" s="2" t="s">
        <v>3</v>
      </c>
      <c r="E1063" s="15" t="s">
        <v>214</v>
      </c>
      <c r="F1063" t="s">
        <v>170</v>
      </c>
      <c r="G1063" s="2" t="str">
        <f t="shared" si="17"/>
        <v>Medium</v>
      </c>
      <c r="H1063" s="3">
        <v>2037</v>
      </c>
      <c r="I1063" s="4">
        <v>1.3</v>
      </c>
      <c r="J1063" s="5">
        <v>41945.024054982816</v>
      </c>
      <c r="K1063" s="6">
        <v>1.6928005465788761E-2</v>
      </c>
      <c r="L1063" s="5">
        <v>966.29959253804611</v>
      </c>
      <c r="M1063" s="5">
        <v>1410.1824202258222</v>
      </c>
      <c r="N1063" s="11">
        <v>2130.6235002454591</v>
      </c>
      <c r="O1063" s="13">
        <v>2024</v>
      </c>
    </row>
    <row r="1064" spans="1:15" ht="14.5" customHeight="1" x14ac:dyDescent="0.35">
      <c r="A1064" s="20" t="s">
        <v>2122</v>
      </c>
      <c r="B1064" s="2" t="s">
        <v>2123</v>
      </c>
      <c r="C1064" s="17" t="s">
        <v>3109</v>
      </c>
      <c r="D1064" s="2" t="s">
        <v>193</v>
      </c>
      <c r="E1064" s="15" t="s">
        <v>186</v>
      </c>
      <c r="F1064" t="s">
        <v>170</v>
      </c>
      <c r="G1064" s="2" t="str">
        <f t="shared" si="17"/>
        <v>Small</v>
      </c>
      <c r="H1064" s="3">
        <v>460</v>
      </c>
      <c r="I1064" s="4">
        <v>1.1000000000000001</v>
      </c>
      <c r="J1064" s="5">
        <v>26169.043478260868</v>
      </c>
      <c r="K1064" s="6">
        <v>1.0225328466425647E-2</v>
      </c>
      <c r="L1064" s="5">
        <v>287.91593478260876</v>
      </c>
      <c r="M1064" s="5">
        <v>5319.9586956521744</v>
      </c>
      <c r="N1064" s="11">
        <v>1174.319847826087</v>
      </c>
      <c r="O1064" s="13">
        <v>2024</v>
      </c>
    </row>
    <row r="1065" spans="1:15" ht="14.5" customHeight="1" x14ac:dyDescent="0.35">
      <c r="A1065" s="20" t="s">
        <v>2124</v>
      </c>
      <c r="B1065" s="2" t="s">
        <v>2125</v>
      </c>
      <c r="C1065" s="17" t="s">
        <v>3109</v>
      </c>
      <c r="D1065" s="2" t="s">
        <v>67</v>
      </c>
      <c r="E1065" s="15" t="s">
        <v>183</v>
      </c>
      <c r="F1065" t="s">
        <v>170</v>
      </c>
      <c r="G1065" s="2" t="str">
        <f t="shared" si="17"/>
        <v>Medium</v>
      </c>
      <c r="H1065" s="3">
        <v>4556</v>
      </c>
      <c r="I1065" s="4">
        <v>3.4</v>
      </c>
      <c r="J1065" s="5">
        <v>45278.905618964003</v>
      </c>
      <c r="K1065" s="6">
        <v>9.7353058495212585E-3</v>
      </c>
      <c r="L1065" s="5">
        <v>694.54543459174715</v>
      </c>
      <c r="M1065" s="5">
        <v>874.90210711150132</v>
      </c>
      <c r="N1065" s="11">
        <v>1319.5829675153643</v>
      </c>
      <c r="O1065" s="13">
        <v>2024</v>
      </c>
    </row>
    <row r="1066" spans="1:15" ht="14.5" customHeight="1" x14ac:dyDescent="0.35">
      <c r="A1066" s="20" t="s">
        <v>2126</v>
      </c>
      <c r="B1066" s="2" t="s">
        <v>2127</v>
      </c>
      <c r="C1066" s="17" t="s">
        <v>3109</v>
      </c>
      <c r="D1066" s="2" t="s">
        <v>292</v>
      </c>
      <c r="E1066" s="15" t="s">
        <v>173</v>
      </c>
      <c r="F1066" t="s">
        <v>170</v>
      </c>
      <c r="G1066" s="2" t="str">
        <f t="shared" si="17"/>
        <v>Small</v>
      </c>
      <c r="H1066" s="3">
        <v>786</v>
      </c>
      <c r="I1066" s="4">
        <v>0.4</v>
      </c>
      <c r="J1066" s="5">
        <v>34002.779898218832</v>
      </c>
      <c r="K1066" s="6">
        <v>5.4637528700785384E-3</v>
      </c>
      <c r="L1066" s="5">
        <v>318.453320610687</v>
      </c>
      <c r="M1066" s="5">
        <v>2040.4096692111959</v>
      </c>
      <c r="N1066" s="11">
        <v>2719.530012722646</v>
      </c>
      <c r="O1066" s="13">
        <v>2024</v>
      </c>
    </row>
    <row r="1067" spans="1:15" ht="14.5" customHeight="1" x14ac:dyDescent="0.35">
      <c r="A1067" s="20" t="s">
        <v>2128</v>
      </c>
      <c r="B1067" s="2" t="s">
        <v>2129</v>
      </c>
      <c r="C1067" s="17" t="s">
        <v>3109</v>
      </c>
      <c r="D1067" s="2" t="s">
        <v>18</v>
      </c>
      <c r="E1067" s="15" t="s">
        <v>173</v>
      </c>
      <c r="F1067" t="s">
        <v>170</v>
      </c>
      <c r="G1067" s="2" t="str">
        <f t="shared" si="17"/>
        <v>Medium</v>
      </c>
      <c r="H1067" s="3">
        <v>2176</v>
      </c>
      <c r="I1067" s="4">
        <v>0.9</v>
      </c>
      <c r="J1067" s="5">
        <v>35091.72748161765</v>
      </c>
      <c r="K1067" s="6">
        <v>7.9712572875088039E-3</v>
      </c>
      <c r="L1067" s="5">
        <v>422.64526194852942</v>
      </c>
      <c r="M1067" s="5">
        <v>1166.2599494485294</v>
      </c>
      <c r="N1067" s="11">
        <v>2186.9126746323532</v>
      </c>
      <c r="O1067" s="13">
        <v>2024</v>
      </c>
    </row>
    <row r="1068" spans="1:15" ht="14.5" customHeight="1" x14ac:dyDescent="0.35">
      <c r="A1068" s="20" t="s">
        <v>2130</v>
      </c>
      <c r="B1068" s="2" t="s">
        <v>2131</v>
      </c>
      <c r="C1068" s="17" t="s">
        <v>3109</v>
      </c>
      <c r="D1068" s="2" t="s">
        <v>63</v>
      </c>
      <c r="E1068" s="15" t="s">
        <v>169</v>
      </c>
      <c r="F1068" t="s">
        <v>170</v>
      </c>
      <c r="G1068" s="2" t="str">
        <f t="shared" si="17"/>
        <v>Medium</v>
      </c>
      <c r="H1068" s="3">
        <v>7155</v>
      </c>
      <c r="I1068" s="4">
        <v>3.6</v>
      </c>
      <c r="J1068" s="5">
        <v>28541.629070580013</v>
      </c>
      <c r="K1068" s="6">
        <v>9.0688723721638245E-3</v>
      </c>
      <c r="L1068" s="5">
        <v>488.60475192173305</v>
      </c>
      <c r="M1068" s="5">
        <v>125.78616352201257</v>
      </c>
      <c r="N1068" s="11">
        <v>1100.1990216631725</v>
      </c>
      <c r="O1068" s="13">
        <v>2024</v>
      </c>
    </row>
    <row r="1069" spans="1:15" ht="14.5" customHeight="1" x14ac:dyDescent="0.35">
      <c r="A1069" s="20" t="s">
        <v>2132</v>
      </c>
      <c r="B1069" s="2" t="s">
        <v>2133</v>
      </c>
      <c r="C1069" s="17" t="s">
        <v>3109</v>
      </c>
      <c r="D1069" s="2" t="s">
        <v>94</v>
      </c>
      <c r="E1069" s="15" t="s">
        <v>169</v>
      </c>
      <c r="F1069" t="s">
        <v>170</v>
      </c>
      <c r="G1069" s="2" t="str">
        <f t="shared" si="17"/>
        <v>Small</v>
      </c>
      <c r="H1069" s="3">
        <v>699</v>
      </c>
      <c r="I1069" s="4">
        <v>0.7</v>
      </c>
      <c r="J1069" s="5">
        <v>100934.52503576539</v>
      </c>
      <c r="K1069" s="6">
        <v>6.0713730864750022E-3</v>
      </c>
      <c r="L1069" s="5">
        <v>994.54077253218884</v>
      </c>
      <c r="M1069" s="5">
        <v>11630.901287553648</v>
      </c>
      <c r="N1069" s="11">
        <v>6310.0400572246062</v>
      </c>
      <c r="O1069" s="13">
        <v>2024</v>
      </c>
    </row>
    <row r="1070" spans="1:15" ht="14.5" customHeight="1" x14ac:dyDescent="0.35">
      <c r="A1070" s="20" t="s">
        <v>2134</v>
      </c>
      <c r="B1070" s="2" t="s">
        <v>2135</v>
      </c>
      <c r="C1070" s="17" t="s">
        <v>3109</v>
      </c>
      <c r="D1070" s="2" t="s">
        <v>94</v>
      </c>
      <c r="E1070" s="15" t="s">
        <v>169</v>
      </c>
      <c r="F1070" t="s">
        <v>170</v>
      </c>
      <c r="G1070" s="2" t="str">
        <f t="shared" si="17"/>
        <v>Medium</v>
      </c>
      <c r="H1070" s="3">
        <v>3236</v>
      </c>
      <c r="I1070" s="4">
        <v>2.5</v>
      </c>
      <c r="J1070" s="5">
        <v>43251.558096415327</v>
      </c>
      <c r="K1070" s="6">
        <v>7.4899940370975722E-3</v>
      </c>
      <c r="L1070" s="5">
        <v>512.83181396786154</v>
      </c>
      <c r="M1070" s="5">
        <v>378.67119901112483</v>
      </c>
      <c r="N1070" s="11">
        <v>1010.9138627935722</v>
      </c>
      <c r="O1070" s="13">
        <v>2024</v>
      </c>
    </row>
    <row r="1071" spans="1:15" ht="14.5" customHeight="1" x14ac:dyDescent="0.35">
      <c r="A1071" s="20" t="s">
        <v>2136</v>
      </c>
      <c r="B1071" s="2" t="s">
        <v>2137</v>
      </c>
      <c r="C1071" s="17" t="s">
        <v>3109</v>
      </c>
      <c r="D1071" s="2" t="s">
        <v>22</v>
      </c>
      <c r="E1071" s="15" t="s">
        <v>186</v>
      </c>
      <c r="F1071" t="s">
        <v>170</v>
      </c>
      <c r="G1071" s="2" t="str">
        <f t="shared" si="17"/>
        <v>Small</v>
      </c>
      <c r="H1071" s="3">
        <v>573</v>
      </c>
      <c r="I1071" s="4">
        <v>0.8</v>
      </c>
      <c r="J1071" s="5">
        <v>75940.101221640492</v>
      </c>
      <c r="K1071" s="6">
        <v>3.2599990743140579E-3</v>
      </c>
      <c r="L1071" s="5">
        <v>528.44910994764393</v>
      </c>
      <c r="M1071" s="5">
        <v>5061.6055846422341</v>
      </c>
      <c r="N1071" s="11">
        <v>1121.6700872600347</v>
      </c>
      <c r="O1071" s="13">
        <v>2024</v>
      </c>
    </row>
    <row r="1072" spans="1:15" ht="14.5" customHeight="1" x14ac:dyDescent="0.35">
      <c r="A1072" s="20" t="s">
        <v>2138</v>
      </c>
      <c r="B1072" s="2" t="s">
        <v>2139</v>
      </c>
      <c r="C1072" s="17" t="s">
        <v>3109</v>
      </c>
      <c r="D1072" s="2" t="s">
        <v>231</v>
      </c>
      <c r="E1072" s="15" t="s">
        <v>178</v>
      </c>
      <c r="F1072" t="s">
        <v>170</v>
      </c>
      <c r="G1072" s="2" t="str">
        <f t="shared" si="17"/>
        <v>Small</v>
      </c>
      <c r="H1072" s="3">
        <v>970</v>
      </c>
      <c r="I1072" s="4">
        <v>1.4</v>
      </c>
      <c r="J1072" s="5">
        <v>47328.558762886598</v>
      </c>
      <c r="K1072" s="6">
        <v>7.1555061609016955E-3</v>
      </c>
      <c r="L1072" s="5">
        <v>358.48135051546387</v>
      </c>
      <c r="M1072" s="5">
        <v>7175.0389999999998</v>
      </c>
      <c r="N1072" s="11">
        <v>2043.698793814433</v>
      </c>
      <c r="O1072" s="13">
        <v>2024</v>
      </c>
    </row>
    <row r="1073" spans="1:15" ht="14.5" customHeight="1" x14ac:dyDescent="0.35">
      <c r="A1073" s="20" t="s">
        <v>2140</v>
      </c>
      <c r="B1073" s="2" t="s">
        <v>2141</v>
      </c>
      <c r="C1073" s="17" t="s">
        <v>3109</v>
      </c>
      <c r="D1073" s="2" t="s">
        <v>77</v>
      </c>
      <c r="E1073" s="15" t="s">
        <v>217</v>
      </c>
      <c r="F1073" t="s">
        <v>170</v>
      </c>
      <c r="G1073" s="2" t="str">
        <f t="shared" si="17"/>
        <v>Medium</v>
      </c>
      <c r="H1073" s="3">
        <v>1477</v>
      </c>
      <c r="I1073" s="4">
        <v>0.7</v>
      </c>
      <c r="J1073" s="5">
        <v>71046.490182802983</v>
      </c>
      <c r="K1073" s="6" t="s">
        <v>27</v>
      </c>
      <c r="L1073" s="5">
        <v>0</v>
      </c>
      <c r="M1073" s="5">
        <v>0</v>
      </c>
      <c r="N1073" s="11">
        <v>0</v>
      </c>
      <c r="O1073" s="13">
        <v>2024</v>
      </c>
    </row>
    <row r="1074" spans="1:15" ht="14.5" customHeight="1" x14ac:dyDescent="0.35">
      <c r="A1074" s="20" t="s">
        <v>2142</v>
      </c>
      <c r="B1074" s="2" t="s">
        <v>2143</v>
      </c>
      <c r="C1074" s="17" t="s">
        <v>3109</v>
      </c>
      <c r="D1074" s="2" t="s">
        <v>597</v>
      </c>
      <c r="E1074" s="15" t="s">
        <v>169</v>
      </c>
      <c r="F1074" t="s">
        <v>170</v>
      </c>
      <c r="G1074" s="2" t="str">
        <f t="shared" si="17"/>
        <v>Small</v>
      </c>
      <c r="H1074" s="3">
        <v>334</v>
      </c>
      <c r="I1074" s="4">
        <v>0.3</v>
      </c>
      <c r="J1074" s="5">
        <v>38430.311377245511</v>
      </c>
      <c r="K1074" s="6">
        <v>6.7910824508224076E-3</v>
      </c>
      <c r="L1074" s="5">
        <v>275.26317365269466</v>
      </c>
      <c r="M1074" s="5">
        <v>1225.8083832335328</v>
      </c>
      <c r="N1074" s="11">
        <v>850.16868263473066</v>
      </c>
      <c r="O1074" s="13">
        <v>2024</v>
      </c>
    </row>
    <row r="1075" spans="1:15" ht="14.5" customHeight="1" x14ac:dyDescent="0.35">
      <c r="A1075" s="20" t="s">
        <v>2144</v>
      </c>
      <c r="B1075" s="2" t="s">
        <v>2145</v>
      </c>
      <c r="C1075" s="17" t="s">
        <v>3109</v>
      </c>
      <c r="D1075" s="2" t="s">
        <v>5</v>
      </c>
      <c r="E1075" s="15" t="s">
        <v>183</v>
      </c>
      <c r="F1075" t="s">
        <v>170</v>
      </c>
      <c r="G1075" s="2" t="str">
        <f t="shared" si="17"/>
        <v>Small</v>
      </c>
      <c r="H1075" s="3">
        <v>517</v>
      </c>
      <c r="I1075" s="4">
        <v>1</v>
      </c>
      <c r="J1075" s="5">
        <v>43879.680851063829</v>
      </c>
      <c r="K1075" s="6">
        <v>5.2801861252823627E-3</v>
      </c>
      <c r="L1075" s="5">
        <v>369.57473887814314</v>
      </c>
      <c r="M1075" s="5">
        <v>1825.9187620889747</v>
      </c>
      <c r="N1075" s="11">
        <v>805.35077369439068</v>
      </c>
      <c r="O1075" s="13">
        <v>2024</v>
      </c>
    </row>
    <row r="1076" spans="1:15" ht="14.5" customHeight="1" x14ac:dyDescent="0.35">
      <c r="A1076" s="20" t="s">
        <v>2146</v>
      </c>
      <c r="B1076" s="2" t="s">
        <v>2147</v>
      </c>
      <c r="C1076" s="17" t="s">
        <v>3109</v>
      </c>
      <c r="D1076" s="2" t="s">
        <v>248</v>
      </c>
      <c r="E1076" s="15" t="s">
        <v>217</v>
      </c>
      <c r="F1076" t="s">
        <v>170</v>
      </c>
      <c r="G1076" s="2" t="str">
        <f t="shared" si="17"/>
        <v>Medium</v>
      </c>
      <c r="H1076" s="3">
        <v>3745</v>
      </c>
      <c r="I1076" s="4">
        <v>2.2999999999999998</v>
      </c>
      <c r="J1076" s="5">
        <v>109655.57036048065</v>
      </c>
      <c r="K1076" s="6">
        <v>1.0713499758441354E-2</v>
      </c>
      <c r="L1076" s="5">
        <v>1220.50173564753</v>
      </c>
      <c r="M1076" s="5">
        <v>518.75380507343129</v>
      </c>
      <c r="N1076" s="11">
        <v>2273.630173564753</v>
      </c>
      <c r="O1076" s="13">
        <v>2024</v>
      </c>
    </row>
    <row r="1077" spans="1:15" ht="14.5" customHeight="1" x14ac:dyDescent="0.35">
      <c r="A1077" s="20" t="s">
        <v>2148</v>
      </c>
      <c r="B1077" s="2" t="s">
        <v>2149</v>
      </c>
      <c r="C1077" s="17" t="s">
        <v>3109</v>
      </c>
      <c r="D1077" s="2" t="s">
        <v>65</v>
      </c>
      <c r="E1077" s="15" t="s">
        <v>186</v>
      </c>
      <c r="F1077" t="s">
        <v>170</v>
      </c>
      <c r="G1077" s="2" t="str">
        <f t="shared" si="17"/>
        <v>Small</v>
      </c>
      <c r="H1077" s="3">
        <v>960</v>
      </c>
      <c r="I1077" s="4">
        <v>1.1000000000000001</v>
      </c>
      <c r="J1077" s="5">
        <v>44878.363541666666</v>
      </c>
      <c r="K1077" s="6">
        <v>9.5905494920076693E-3</v>
      </c>
      <c r="L1077" s="5">
        <v>604.73155208333321</v>
      </c>
      <c r="M1077" s="5">
        <v>1476.0145833333333</v>
      </c>
      <c r="N1077" s="11">
        <v>1110.6109791666668</v>
      </c>
      <c r="O1077" s="13">
        <v>2024</v>
      </c>
    </row>
    <row r="1078" spans="1:15" ht="14.5" customHeight="1" x14ac:dyDescent="0.35">
      <c r="A1078" s="20" t="s">
        <v>2150</v>
      </c>
      <c r="B1078" s="2" t="s">
        <v>2151</v>
      </c>
      <c r="C1078" s="17" t="s">
        <v>3109</v>
      </c>
      <c r="D1078" s="2" t="s">
        <v>5</v>
      </c>
      <c r="E1078" s="15" t="s">
        <v>183</v>
      </c>
      <c r="F1078" t="s">
        <v>170</v>
      </c>
      <c r="G1078" s="2" t="str">
        <f t="shared" si="17"/>
        <v>Small</v>
      </c>
      <c r="H1078" s="3">
        <v>472</v>
      </c>
      <c r="I1078" s="4">
        <v>0.9</v>
      </c>
      <c r="J1078" s="5">
        <v>73607.66525423729</v>
      </c>
      <c r="K1078" s="6">
        <v>7.483561062893631E-3</v>
      </c>
      <c r="L1078" s="5">
        <v>886.05995762711859</v>
      </c>
      <c r="M1078" s="5">
        <v>8842.1610169491523</v>
      </c>
      <c r="N1078" s="11">
        <v>1907.0858262711865</v>
      </c>
      <c r="O1078" s="13">
        <v>2024</v>
      </c>
    </row>
    <row r="1079" spans="1:15" ht="14.5" customHeight="1" x14ac:dyDescent="0.35">
      <c r="A1079" s="20" t="s">
        <v>2152</v>
      </c>
      <c r="B1079" s="2" t="s">
        <v>2153</v>
      </c>
      <c r="C1079" s="17" t="s">
        <v>3109</v>
      </c>
      <c r="D1079" s="2" t="s">
        <v>39</v>
      </c>
      <c r="E1079" s="15" t="s">
        <v>173</v>
      </c>
      <c r="F1079" t="s">
        <v>170</v>
      </c>
      <c r="G1079" s="2" t="str">
        <f t="shared" si="17"/>
        <v>Medium</v>
      </c>
      <c r="H1079" s="3">
        <v>4114</v>
      </c>
      <c r="I1079" s="4">
        <v>1.8</v>
      </c>
      <c r="J1079" s="5">
        <v>117177.95089936801</v>
      </c>
      <c r="K1079" s="6">
        <v>6.4077373271592096E-3</v>
      </c>
      <c r="L1079" s="5">
        <v>998.18365824015564</v>
      </c>
      <c r="M1079" s="5">
        <v>2110.7437214389888</v>
      </c>
      <c r="N1079" s="11">
        <v>2418.4125449684007</v>
      </c>
      <c r="O1079" s="13">
        <v>2024</v>
      </c>
    </row>
    <row r="1080" spans="1:15" ht="14.5" customHeight="1" x14ac:dyDescent="0.35">
      <c r="A1080" s="20" t="s">
        <v>2154</v>
      </c>
      <c r="B1080" s="2" t="s">
        <v>2155</v>
      </c>
      <c r="C1080" s="17" t="s">
        <v>3109</v>
      </c>
      <c r="D1080" s="2" t="s">
        <v>67</v>
      </c>
      <c r="E1080" s="15" t="s">
        <v>183</v>
      </c>
      <c r="F1080" t="s">
        <v>170</v>
      </c>
      <c r="G1080" s="2" t="str">
        <f t="shared" si="17"/>
        <v>Medium</v>
      </c>
      <c r="H1080" s="3">
        <v>2767</v>
      </c>
      <c r="I1080" s="4">
        <v>1.9</v>
      </c>
      <c r="J1080" s="5">
        <v>88936.390314419943</v>
      </c>
      <c r="K1080" s="6" t="s">
        <v>27</v>
      </c>
      <c r="L1080" s="5">
        <v>0</v>
      </c>
      <c r="M1080" s="5">
        <v>0</v>
      </c>
      <c r="N1080" s="11">
        <v>0</v>
      </c>
      <c r="O1080" s="13">
        <v>2024</v>
      </c>
    </row>
    <row r="1081" spans="1:15" ht="14.5" customHeight="1" x14ac:dyDescent="0.35">
      <c r="A1081" s="20" t="s">
        <v>2156</v>
      </c>
      <c r="B1081" s="2" t="s">
        <v>2157</v>
      </c>
      <c r="C1081" s="17" t="s">
        <v>3109</v>
      </c>
      <c r="D1081" s="2" t="s">
        <v>30</v>
      </c>
      <c r="E1081" s="15" t="s">
        <v>273</v>
      </c>
      <c r="F1081" t="s">
        <v>208</v>
      </c>
      <c r="G1081" s="2" t="str">
        <f t="shared" si="17"/>
        <v>Medium</v>
      </c>
      <c r="H1081" s="3">
        <v>7374</v>
      </c>
      <c r="I1081" s="4">
        <v>0.7</v>
      </c>
      <c r="J1081" s="5">
        <v>206229.60672633577</v>
      </c>
      <c r="K1081" s="6" t="s">
        <v>27</v>
      </c>
      <c r="L1081" s="5">
        <v>0</v>
      </c>
      <c r="M1081" s="5">
        <v>0</v>
      </c>
      <c r="N1081" s="11">
        <v>0</v>
      </c>
      <c r="O1081" s="13">
        <v>2024</v>
      </c>
    </row>
    <row r="1082" spans="1:15" ht="14.5" customHeight="1" x14ac:dyDescent="0.35">
      <c r="A1082" s="20" t="s">
        <v>2158</v>
      </c>
      <c r="B1082" s="2" t="s">
        <v>2159</v>
      </c>
      <c r="C1082" s="17" t="s">
        <v>3109</v>
      </c>
      <c r="D1082" s="2" t="s">
        <v>22</v>
      </c>
      <c r="E1082" s="15" t="s">
        <v>186</v>
      </c>
      <c r="F1082" t="s">
        <v>170</v>
      </c>
      <c r="G1082" s="2" t="str">
        <f t="shared" si="17"/>
        <v>Medium</v>
      </c>
      <c r="H1082" s="3">
        <v>1069</v>
      </c>
      <c r="I1082" s="4">
        <v>0.8</v>
      </c>
      <c r="J1082" s="5">
        <v>42146.361085126286</v>
      </c>
      <c r="K1082" s="6">
        <v>7.1517541215675431E-3</v>
      </c>
      <c r="L1082" s="5">
        <v>474.54539756782037</v>
      </c>
      <c r="M1082" s="5">
        <v>590.45837231057067</v>
      </c>
      <c r="N1082" s="11">
        <v>1477.3592235734332</v>
      </c>
      <c r="O1082" s="13">
        <v>2024</v>
      </c>
    </row>
    <row r="1083" spans="1:15" ht="14.5" customHeight="1" x14ac:dyDescent="0.35">
      <c r="A1083" s="20" t="s">
        <v>2160</v>
      </c>
      <c r="B1083" s="2" t="s">
        <v>2161</v>
      </c>
      <c r="C1083" s="17" t="s">
        <v>3109</v>
      </c>
      <c r="D1083" s="2" t="s">
        <v>26</v>
      </c>
      <c r="E1083" s="15" t="s">
        <v>183</v>
      </c>
      <c r="F1083" t="s">
        <v>170</v>
      </c>
      <c r="G1083" s="2" t="str">
        <f t="shared" si="17"/>
        <v>Medium</v>
      </c>
      <c r="H1083" s="3">
        <v>1862</v>
      </c>
      <c r="I1083" s="4">
        <v>1.9</v>
      </c>
      <c r="J1083" s="5">
        <v>70709.500537056927</v>
      </c>
      <c r="K1083" s="6">
        <v>4.4727803028214328E-3</v>
      </c>
      <c r="L1083" s="5">
        <v>475.84915145005368</v>
      </c>
      <c r="M1083" s="5">
        <v>1174.4807572502684</v>
      </c>
      <c r="N1083" s="11">
        <v>1426.8053974221266</v>
      </c>
      <c r="O1083" s="13">
        <v>2024</v>
      </c>
    </row>
    <row r="1084" spans="1:15" ht="14.5" customHeight="1" x14ac:dyDescent="0.35">
      <c r="A1084" s="20" t="s">
        <v>2162</v>
      </c>
      <c r="B1084" s="2" t="s">
        <v>2163</v>
      </c>
      <c r="C1084" s="17" t="s">
        <v>3109</v>
      </c>
      <c r="D1084" s="2" t="s">
        <v>30</v>
      </c>
      <c r="E1084" s="15" t="s">
        <v>273</v>
      </c>
      <c r="F1084" t="s">
        <v>208</v>
      </c>
      <c r="G1084" s="2" t="str">
        <f t="shared" si="17"/>
        <v>Small</v>
      </c>
      <c r="H1084" s="3">
        <v>407</v>
      </c>
      <c r="I1084" s="4">
        <v>1.1000000000000001</v>
      </c>
      <c r="J1084" s="5">
        <v>1503174.4201474201</v>
      </c>
      <c r="K1084" s="6">
        <v>5.0745041710573953E-3</v>
      </c>
      <c r="L1084" s="5">
        <v>7697.0589680589683</v>
      </c>
      <c r="M1084" s="5">
        <v>0</v>
      </c>
      <c r="N1084" s="11">
        <v>8765.7272727272721</v>
      </c>
      <c r="O1084" s="13">
        <v>2024</v>
      </c>
    </row>
    <row r="1085" spans="1:15" ht="14.5" customHeight="1" x14ac:dyDescent="0.35">
      <c r="A1085" s="20" t="s">
        <v>2164</v>
      </c>
      <c r="B1085" s="2" t="s">
        <v>2165</v>
      </c>
      <c r="C1085" s="17" t="s">
        <v>3109</v>
      </c>
      <c r="D1085" s="2" t="s">
        <v>73</v>
      </c>
      <c r="E1085" s="15" t="s">
        <v>169</v>
      </c>
      <c r="F1085" t="s">
        <v>170</v>
      </c>
      <c r="G1085" s="2" t="str">
        <f t="shared" si="17"/>
        <v>Medium</v>
      </c>
      <c r="H1085" s="3">
        <v>1170</v>
      </c>
      <c r="I1085" s="4">
        <v>1.4</v>
      </c>
      <c r="J1085" s="5">
        <v>58098.887179487181</v>
      </c>
      <c r="K1085" s="6">
        <v>4.0043796240238679E-3</v>
      </c>
      <c r="L1085" s="5">
        <v>431.08598290598292</v>
      </c>
      <c r="M1085" s="5">
        <v>2143.931623931624</v>
      </c>
      <c r="N1085" s="11">
        <v>3460.7546923076925</v>
      </c>
      <c r="O1085" s="13">
        <v>2024</v>
      </c>
    </row>
    <row r="1086" spans="1:15" ht="14.5" customHeight="1" x14ac:dyDescent="0.35">
      <c r="A1086" s="20" t="s">
        <v>2166</v>
      </c>
      <c r="B1086" s="2" t="s">
        <v>2167</v>
      </c>
      <c r="C1086" s="17" t="s">
        <v>3109</v>
      </c>
      <c r="D1086" s="2" t="s">
        <v>282</v>
      </c>
      <c r="E1086" s="15" t="s">
        <v>169</v>
      </c>
      <c r="F1086" t="s">
        <v>170</v>
      </c>
      <c r="G1086" s="2" t="str">
        <f t="shared" si="17"/>
        <v>Small</v>
      </c>
      <c r="H1086" s="3">
        <v>735</v>
      </c>
      <c r="I1086" s="4">
        <v>1.1000000000000001</v>
      </c>
      <c r="J1086" s="5">
        <v>48227.872108843534</v>
      </c>
      <c r="K1086" s="6">
        <v>5.1988679817801461E-3</v>
      </c>
      <c r="L1086" s="5">
        <v>272.86340136054423</v>
      </c>
      <c r="M1086" s="5">
        <v>469.38775510204084</v>
      </c>
      <c r="N1086" s="11">
        <v>994.08282993197281</v>
      </c>
      <c r="O1086" s="13">
        <v>2024</v>
      </c>
    </row>
    <row r="1087" spans="1:15" ht="14.5" customHeight="1" x14ac:dyDescent="0.35">
      <c r="A1087" s="20" t="s">
        <v>2168</v>
      </c>
      <c r="B1087" s="2" t="s">
        <v>2169</v>
      </c>
      <c r="C1087" s="17" t="s">
        <v>3109</v>
      </c>
      <c r="D1087" s="2" t="s">
        <v>37</v>
      </c>
      <c r="E1087" s="15" t="s">
        <v>217</v>
      </c>
      <c r="F1087" t="s">
        <v>170</v>
      </c>
      <c r="G1087" s="2" t="str">
        <f t="shared" si="17"/>
        <v>Medium</v>
      </c>
      <c r="H1087" s="3">
        <v>1529</v>
      </c>
      <c r="I1087" s="4">
        <v>1.2</v>
      </c>
      <c r="J1087" s="5">
        <v>134233.66906474819</v>
      </c>
      <c r="K1087" s="6">
        <v>3.262503892941099E-3</v>
      </c>
      <c r="L1087" s="5">
        <v>666.10137344669715</v>
      </c>
      <c r="M1087" s="5">
        <v>1979.4480052321778</v>
      </c>
      <c r="N1087" s="11">
        <v>1506.7135382603008</v>
      </c>
      <c r="O1087" s="13">
        <v>2024</v>
      </c>
    </row>
    <row r="1088" spans="1:15" ht="14.5" customHeight="1" x14ac:dyDescent="0.35">
      <c r="A1088" s="20" t="s">
        <v>2170</v>
      </c>
      <c r="B1088" s="2" t="s">
        <v>2171</v>
      </c>
      <c r="C1088" s="17" t="s">
        <v>3109</v>
      </c>
      <c r="D1088" s="2" t="s">
        <v>94</v>
      </c>
      <c r="E1088" s="15" t="s">
        <v>169</v>
      </c>
      <c r="F1088" t="s">
        <v>170</v>
      </c>
      <c r="G1088" s="2" t="str">
        <f t="shared" si="17"/>
        <v>Small</v>
      </c>
      <c r="H1088" s="3">
        <v>615</v>
      </c>
      <c r="I1088" s="4">
        <v>1</v>
      </c>
      <c r="J1088" s="5">
        <v>67312.95284552846</v>
      </c>
      <c r="K1088" s="6">
        <v>4.3333570223839301E-3</v>
      </c>
      <c r="L1088" s="5">
        <v>570.43902439024396</v>
      </c>
      <c r="M1088" s="5">
        <v>2838.6910569105689</v>
      </c>
      <c r="N1088" s="11">
        <v>1572.358487804878</v>
      </c>
      <c r="O1088" s="13">
        <v>2024</v>
      </c>
    </row>
    <row r="1089" spans="1:15" ht="14.5" customHeight="1" x14ac:dyDescent="0.35">
      <c r="A1089" s="20" t="s">
        <v>2172</v>
      </c>
      <c r="B1089" s="2" t="s">
        <v>2173</v>
      </c>
      <c r="C1089" s="17" t="s">
        <v>3109</v>
      </c>
      <c r="D1089" s="2" t="s">
        <v>69</v>
      </c>
      <c r="E1089" s="15" t="s">
        <v>173</v>
      </c>
      <c r="F1089" t="s">
        <v>170</v>
      </c>
      <c r="G1089" s="2" t="str">
        <f t="shared" si="17"/>
        <v>Small</v>
      </c>
      <c r="H1089" s="3">
        <v>467</v>
      </c>
      <c r="I1089" s="4">
        <v>0.5</v>
      </c>
      <c r="J1089" s="5">
        <v>76607.481798715206</v>
      </c>
      <c r="K1089" s="6">
        <v>5.5793139889892835E-3</v>
      </c>
      <c r="L1089" s="5">
        <v>524.26156316916479</v>
      </c>
      <c r="M1089" s="5">
        <v>642.3982869379015</v>
      </c>
      <c r="N1089" s="11">
        <v>930.96710920770886</v>
      </c>
      <c r="O1089" s="13">
        <v>2024</v>
      </c>
    </row>
    <row r="1090" spans="1:15" ht="14.5" customHeight="1" x14ac:dyDescent="0.35">
      <c r="A1090" s="20" t="s">
        <v>2174</v>
      </c>
      <c r="B1090" s="2" t="s">
        <v>2175</v>
      </c>
      <c r="C1090" s="17" t="s">
        <v>3109</v>
      </c>
      <c r="D1090" s="2" t="s">
        <v>53</v>
      </c>
      <c r="E1090" s="15" t="s">
        <v>207</v>
      </c>
      <c r="F1090" t="s">
        <v>208</v>
      </c>
      <c r="G1090" s="2" t="str">
        <f t="shared" si="17"/>
        <v>Medium</v>
      </c>
      <c r="H1090" s="3">
        <v>3993</v>
      </c>
      <c r="I1090" s="4">
        <v>2.2000000000000002</v>
      </c>
      <c r="J1090" s="5">
        <v>142615.33533683946</v>
      </c>
      <c r="K1090" s="6">
        <v>7.2982823324050927E-3</v>
      </c>
      <c r="L1090" s="5">
        <v>1307.6426245930379</v>
      </c>
      <c r="M1090" s="5">
        <v>77.635862759829706</v>
      </c>
      <c r="N1090" s="11">
        <v>2138.304282494365</v>
      </c>
      <c r="O1090" s="13">
        <v>2024</v>
      </c>
    </row>
    <row r="1091" spans="1:15" ht="14.5" customHeight="1" x14ac:dyDescent="0.35">
      <c r="A1091" s="20" t="s">
        <v>2176</v>
      </c>
      <c r="B1091" s="2" t="s">
        <v>2177</v>
      </c>
      <c r="C1091" s="17" t="s">
        <v>3109</v>
      </c>
      <c r="D1091" s="2" t="s">
        <v>513</v>
      </c>
      <c r="E1091" s="15" t="s">
        <v>207</v>
      </c>
      <c r="F1091" t="s">
        <v>208</v>
      </c>
      <c r="G1091" s="2" t="str">
        <f t="shared" si="17"/>
        <v>Medium</v>
      </c>
      <c r="H1091" s="3">
        <v>10505</v>
      </c>
      <c r="I1091" s="4">
        <v>5</v>
      </c>
      <c r="J1091" s="5">
        <v>147687.19105188004</v>
      </c>
      <c r="K1091" s="6">
        <v>1.3867353337131811E-3</v>
      </c>
      <c r="L1091" s="5">
        <v>255.65092812946216</v>
      </c>
      <c r="M1091" s="5">
        <v>44.26463588767254</v>
      </c>
      <c r="N1091" s="11">
        <v>448.63055687767729</v>
      </c>
      <c r="O1091" s="13">
        <v>2024</v>
      </c>
    </row>
    <row r="1092" spans="1:15" ht="14.5" customHeight="1" x14ac:dyDescent="0.35">
      <c r="A1092" s="20" t="s">
        <v>2178</v>
      </c>
      <c r="B1092" s="2" t="s">
        <v>2179</v>
      </c>
      <c r="C1092" s="17" t="s">
        <v>3109</v>
      </c>
      <c r="D1092" s="2" t="s">
        <v>67</v>
      </c>
      <c r="E1092" s="15" t="s">
        <v>183</v>
      </c>
      <c r="F1092" t="s">
        <v>170</v>
      </c>
      <c r="G1092" s="2" t="str">
        <f t="shared" si="17"/>
        <v>Medium</v>
      </c>
      <c r="H1092" s="3">
        <v>4896</v>
      </c>
      <c r="I1092" s="4">
        <v>2.4</v>
      </c>
      <c r="J1092" s="5">
        <v>53944.417483660131</v>
      </c>
      <c r="K1092" s="6">
        <v>5.4928996980930823E-3</v>
      </c>
      <c r="L1092" s="5">
        <v>576.35049019607845</v>
      </c>
      <c r="M1092" s="5">
        <v>454.20608660130716</v>
      </c>
      <c r="N1092" s="11">
        <v>1061.8311274509804</v>
      </c>
      <c r="O1092" s="13">
        <v>2024</v>
      </c>
    </row>
    <row r="1093" spans="1:15" ht="14.5" customHeight="1" x14ac:dyDescent="0.35">
      <c r="A1093" s="20" t="s">
        <v>2180</v>
      </c>
      <c r="B1093" s="2" t="s">
        <v>2181</v>
      </c>
      <c r="C1093" s="17" t="s">
        <v>3109</v>
      </c>
      <c r="D1093" s="2" t="s">
        <v>79</v>
      </c>
      <c r="E1093" s="15" t="s">
        <v>178</v>
      </c>
      <c r="F1093" t="s">
        <v>170</v>
      </c>
      <c r="G1093" s="2" t="str">
        <f t="shared" si="17"/>
        <v>Medium</v>
      </c>
      <c r="H1093" s="3">
        <v>2091</v>
      </c>
      <c r="I1093" s="4">
        <v>1.2</v>
      </c>
      <c r="J1093" s="5">
        <v>78004.933046389284</v>
      </c>
      <c r="K1093" s="6">
        <v>2.6400064276306209E-3</v>
      </c>
      <c r="L1093" s="5">
        <v>565.92204686752746</v>
      </c>
      <c r="M1093" s="5">
        <v>14.347202295552368</v>
      </c>
      <c r="N1093" s="11">
        <v>1873.7771401243424</v>
      </c>
      <c r="O1093" s="13">
        <v>2024</v>
      </c>
    </row>
    <row r="1094" spans="1:15" ht="14.5" customHeight="1" x14ac:dyDescent="0.35">
      <c r="A1094" s="20" t="s">
        <v>2182</v>
      </c>
      <c r="B1094" s="2" t="s">
        <v>2183</v>
      </c>
      <c r="C1094" s="17" t="s">
        <v>3109</v>
      </c>
      <c r="D1094" s="2" t="s">
        <v>94</v>
      </c>
      <c r="E1094" s="15" t="s">
        <v>169</v>
      </c>
      <c r="F1094" t="s">
        <v>170</v>
      </c>
      <c r="G1094" s="2" t="str">
        <f t="shared" si="17"/>
        <v>Medium</v>
      </c>
      <c r="H1094" s="3">
        <v>1705</v>
      </c>
      <c r="I1094" s="4">
        <v>1.6</v>
      </c>
      <c r="J1094" s="5">
        <v>132564.3624633431</v>
      </c>
      <c r="K1094" s="6">
        <v>6.649345716150285E-3</v>
      </c>
      <c r="L1094" s="5">
        <v>1508.3266862170087</v>
      </c>
      <c r="M1094" s="5">
        <v>12693.980058651026</v>
      </c>
      <c r="N1094" s="11">
        <v>5218.3788856304982</v>
      </c>
      <c r="O1094" s="13">
        <v>2024</v>
      </c>
    </row>
    <row r="1095" spans="1:15" ht="14.5" customHeight="1" x14ac:dyDescent="0.35">
      <c r="A1095" s="20" t="s">
        <v>2184</v>
      </c>
      <c r="B1095" s="2" t="s">
        <v>2185</v>
      </c>
      <c r="C1095" s="17" t="s">
        <v>3109</v>
      </c>
      <c r="D1095" s="2" t="s">
        <v>81</v>
      </c>
      <c r="E1095" s="15" t="s">
        <v>214</v>
      </c>
      <c r="F1095" t="s">
        <v>170</v>
      </c>
      <c r="G1095" s="2" t="str">
        <f t="shared" si="17"/>
        <v>Small</v>
      </c>
      <c r="H1095" s="3">
        <v>339</v>
      </c>
      <c r="I1095" s="4">
        <v>0.4</v>
      </c>
      <c r="J1095" s="5">
        <v>52409.386430678467</v>
      </c>
      <c r="K1095" s="6">
        <v>1.8522933978702503E-2</v>
      </c>
      <c r="L1095" s="5">
        <v>1229.2289675516224</v>
      </c>
      <c r="M1095" s="5">
        <v>312.59156342182888</v>
      </c>
      <c r="N1095" s="11">
        <v>1612.7908554572271</v>
      </c>
      <c r="O1095" s="13">
        <v>2024</v>
      </c>
    </row>
    <row r="1096" spans="1:15" ht="14.5" customHeight="1" x14ac:dyDescent="0.35">
      <c r="A1096" s="20" t="s">
        <v>2186</v>
      </c>
      <c r="B1096" s="2" t="s">
        <v>2187</v>
      </c>
      <c r="C1096" s="17" t="s">
        <v>3109</v>
      </c>
      <c r="D1096" s="2" t="s">
        <v>26</v>
      </c>
      <c r="E1096" s="15" t="s">
        <v>183</v>
      </c>
      <c r="F1096" t="s">
        <v>170</v>
      </c>
      <c r="G1096" s="2" t="str">
        <f t="shared" si="17"/>
        <v>Small</v>
      </c>
      <c r="H1096" s="3">
        <v>732</v>
      </c>
      <c r="I1096" s="4">
        <v>1.1000000000000001</v>
      </c>
      <c r="J1096" s="5">
        <v>51789.937158469947</v>
      </c>
      <c r="K1096" s="6">
        <v>4.3438439340680408E-3</v>
      </c>
      <c r="L1096" s="5">
        <v>312.02471311475409</v>
      </c>
      <c r="M1096" s="5">
        <v>4568.8782786885249</v>
      </c>
      <c r="N1096" s="11">
        <v>2249.3858333333333</v>
      </c>
      <c r="O1096" s="13">
        <v>2024</v>
      </c>
    </row>
    <row r="1097" spans="1:15" ht="14.5" customHeight="1" x14ac:dyDescent="0.35">
      <c r="A1097" s="20" t="s">
        <v>2188</v>
      </c>
      <c r="B1097" s="2" t="s">
        <v>2189</v>
      </c>
      <c r="C1097" s="17" t="s">
        <v>3109</v>
      </c>
      <c r="D1097" s="2" t="s">
        <v>15</v>
      </c>
      <c r="E1097" s="15" t="s">
        <v>178</v>
      </c>
      <c r="F1097" t="s">
        <v>170</v>
      </c>
      <c r="G1097" s="2" t="str">
        <f t="shared" si="17"/>
        <v>Medium</v>
      </c>
      <c r="H1097" s="3">
        <v>2209</v>
      </c>
      <c r="I1097" s="4">
        <v>1.5</v>
      </c>
      <c r="J1097" s="5">
        <v>54131.474422815751</v>
      </c>
      <c r="K1097" s="6">
        <v>6.0680187408509879E-3</v>
      </c>
      <c r="L1097" s="5">
        <v>688.12901765504751</v>
      </c>
      <c r="M1097" s="5">
        <v>0</v>
      </c>
      <c r="N1097" s="11">
        <v>1127.8076052512449</v>
      </c>
      <c r="O1097" s="13">
        <v>2024</v>
      </c>
    </row>
    <row r="1098" spans="1:15" ht="14.5" customHeight="1" x14ac:dyDescent="0.35">
      <c r="A1098" s="20" t="s">
        <v>2190</v>
      </c>
      <c r="B1098" s="2" t="s">
        <v>2191</v>
      </c>
      <c r="C1098" s="17" t="s">
        <v>3109</v>
      </c>
      <c r="D1098" s="2" t="s">
        <v>81</v>
      </c>
      <c r="E1098" s="15" t="s">
        <v>214</v>
      </c>
      <c r="F1098" t="s">
        <v>170</v>
      </c>
      <c r="G1098" s="2" t="str">
        <f t="shared" si="17"/>
        <v>Medium</v>
      </c>
      <c r="H1098" s="3">
        <v>1683</v>
      </c>
      <c r="I1098" s="4">
        <v>0.6</v>
      </c>
      <c r="J1098" s="5">
        <v>86610.669637551997</v>
      </c>
      <c r="K1098" s="6">
        <v>4.4771077476035747E-3</v>
      </c>
      <c r="L1098" s="5">
        <v>787.53654188948303</v>
      </c>
      <c r="M1098" s="5">
        <v>2478.5492691622103</v>
      </c>
      <c r="N1098" s="11">
        <v>1794.5822935234701</v>
      </c>
      <c r="O1098" s="13">
        <v>2024</v>
      </c>
    </row>
    <row r="1099" spans="1:15" ht="14.5" customHeight="1" x14ac:dyDescent="0.35">
      <c r="A1099" s="20" t="s">
        <v>2192</v>
      </c>
      <c r="B1099" s="2" t="s">
        <v>2193</v>
      </c>
      <c r="C1099" s="17" t="s">
        <v>3109</v>
      </c>
      <c r="D1099" s="2" t="s">
        <v>234</v>
      </c>
      <c r="E1099" s="15" t="s">
        <v>178</v>
      </c>
      <c r="F1099" t="s">
        <v>170</v>
      </c>
      <c r="G1099" s="2" t="str">
        <f t="shared" si="17"/>
        <v>Medium</v>
      </c>
      <c r="H1099" s="3">
        <v>2171</v>
      </c>
      <c r="I1099" s="4">
        <v>2.2000000000000002</v>
      </c>
      <c r="J1099" s="5">
        <v>31662.991248272687</v>
      </c>
      <c r="K1099" s="6">
        <v>1.3317650357168658E-2</v>
      </c>
      <c r="L1099" s="5">
        <v>541.64900967296182</v>
      </c>
      <c r="M1099" s="5">
        <v>2746.8602994011976</v>
      </c>
      <c r="N1099" s="11">
        <v>1855.8000921234454</v>
      </c>
      <c r="O1099" s="13">
        <v>2024</v>
      </c>
    </row>
    <row r="1100" spans="1:15" ht="14.5" customHeight="1" x14ac:dyDescent="0.35">
      <c r="A1100" s="20" t="s">
        <v>2194</v>
      </c>
      <c r="B1100" s="2" t="s">
        <v>2195</v>
      </c>
      <c r="C1100" s="17" t="s">
        <v>3109</v>
      </c>
      <c r="D1100" s="2" t="s">
        <v>338</v>
      </c>
      <c r="E1100" s="15" t="s">
        <v>214</v>
      </c>
      <c r="F1100" t="s">
        <v>170</v>
      </c>
      <c r="G1100" s="2" t="str">
        <f t="shared" si="17"/>
        <v>Medium</v>
      </c>
      <c r="H1100" s="3">
        <v>4173</v>
      </c>
      <c r="I1100" s="4">
        <v>3.6</v>
      </c>
      <c r="J1100" s="5">
        <v>65397.549724418881</v>
      </c>
      <c r="K1100" s="6">
        <v>4.7381391201795431E-3</v>
      </c>
      <c r="L1100" s="5">
        <v>401.2909178049365</v>
      </c>
      <c r="M1100" s="5">
        <v>1676.7074047447879</v>
      </c>
      <c r="N1100" s="11">
        <v>2965.4553079319435</v>
      </c>
      <c r="O1100" s="13">
        <v>2024</v>
      </c>
    </row>
    <row r="1101" spans="1:15" ht="14.5" customHeight="1" x14ac:dyDescent="0.35">
      <c r="A1101" s="20" t="s">
        <v>2196</v>
      </c>
      <c r="B1101" s="2" t="s">
        <v>2197</v>
      </c>
      <c r="C1101" s="17" t="s">
        <v>3109</v>
      </c>
      <c r="D1101" s="2" t="s">
        <v>18</v>
      </c>
      <c r="E1101" s="15" t="s">
        <v>173</v>
      </c>
      <c r="F1101" t="s">
        <v>170</v>
      </c>
      <c r="G1101" s="2" t="str">
        <f t="shared" si="17"/>
        <v>Small</v>
      </c>
      <c r="H1101" s="3">
        <v>703</v>
      </c>
      <c r="I1101" s="4">
        <v>1.5</v>
      </c>
      <c r="J1101" s="5">
        <v>49544.547652916073</v>
      </c>
      <c r="K1101" s="6">
        <v>7.0195631518821938E-3</v>
      </c>
      <c r="L1101" s="5">
        <v>650.70965860597437</v>
      </c>
      <c r="M1101" s="5">
        <v>1950.768108108108</v>
      </c>
      <c r="N1101" s="11">
        <v>1558.3254480796586</v>
      </c>
      <c r="O1101" s="13">
        <v>2024</v>
      </c>
    </row>
    <row r="1102" spans="1:15" ht="14.5" customHeight="1" x14ac:dyDescent="0.35">
      <c r="A1102" s="20" t="s">
        <v>2198</v>
      </c>
      <c r="B1102" s="2" t="s">
        <v>2199</v>
      </c>
      <c r="C1102" s="17" t="s">
        <v>3109</v>
      </c>
      <c r="D1102" s="2" t="s">
        <v>46</v>
      </c>
      <c r="E1102" s="15" t="s">
        <v>214</v>
      </c>
      <c r="F1102" t="s">
        <v>170</v>
      </c>
      <c r="G1102" s="2" t="str">
        <f t="shared" si="17"/>
        <v>Small</v>
      </c>
      <c r="H1102" s="3">
        <v>250</v>
      </c>
      <c r="I1102" s="4">
        <v>0.4</v>
      </c>
      <c r="J1102" s="5">
        <v>45065.760000000002</v>
      </c>
      <c r="K1102" s="6">
        <v>8.3770916101270681E-4</v>
      </c>
      <c r="L1102" s="5">
        <v>129.63999999999999</v>
      </c>
      <c r="M1102" s="5">
        <v>0</v>
      </c>
      <c r="N1102" s="11">
        <v>609.23599999999999</v>
      </c>
      <c r="O1102" s="13">
        <v>2024</v>
      </c>
    </row>
    <row r="1103" spans="1:15" ht="14.5" customHeight="1" x14ac:dyDescent="0.35">
      <c r="A1103" s="20" t="s">
        <v>2200</v>
      </c>
      <c r="B1103" s="2" t="s">
        <v>2201</v>
      </c>
      <c r="C1103" s="17" t="s">
        <v>3109</v>
      </c>
      <c r="D1103" s="2" t="s">
        <v>438</v>
      </c>
      <c r="E1103" s="15" t="s">
        <v>207</v>
      </c>
      <c r="F1103" t="s">
        <v>208</v>
      </c>
      <c r="G1103" s="2" t="str">
        <f t="shared" si="17"/>
        <v>Medium</v>
      </c>
      <c r="H1103" s="3">
        <v>1986</v>
      </c>
      <c r="I1103" s="4">
        <v>0.6</v>
      </c>
      <c r="J1103" s="5">
        <v>199496.32678751257</v>
      </c>
      <c r="K1103" s="6">
        <v>4.7384235180084246E-3</v>
      </c>
      <c r="L1103" s="5">
        <v>969.25377643504532</v>
      </c>
      <c r="M1103" s="5">
        <v>1251.7875125881169</v>
      </c>
      <c r="N1103" s="11">
        <v>2080.5448136958712</v>
      </c>
      <c r="O1103" s="13">
        <v>2024</v>
      </c>
    </row>
    <row r="1104" spans="1:15" ht="14.5" customHeight="1" x14ac:dyDescent="0.35">
      <c r="A1104" s="20" t="s">
        <v>2202</v>
      </c>
      <c r="B1104" s="2" t="s">
        <v>2203</v>
      </c>
      <c r="C1104" s="17" t="s">
        <v>3109</v>
      </c>
      <c r="D1104" s="2" t="s">
        <v>1</v>
      </c>
      <c r="E1104" s="15" t="s">
        <v>217</v>
      </c>
      <c r="F1104" t="s">
        <v>170</v>
      </c>
      <c r="G1104" s="2" t="str">
        <f t="shared" si="17"/>
        <v>Medium</v>
      </c>
      <c r="H1104" s="3">
        <v>7781</v>
      </c>
      <c r="I1104" s="4">
        <v>3.2</v>
      </c>
      <c r="J1104" s="5">
        <v>129983.10307158463</v>
      </c>
      <c r="K1104" s="6">
        <v>1.2884367218154685E-3</v>
      </c>
      <c r="L1104" s="5">
        <v>641.79668423081864</v>
      </c>
      <c r="M1104" s="5">
        <v>8.7063359465364343</v>
      </c>
      <c r="N1104" s="11">
        <v>1272.236216424624</v>
      </c>
      <c r="O1104" s="13">
        <v>2024</v>
      </c>
    </row>
    <row r="1105" spans="1:15" ht="14.5" customHeight="1" x14ac:dyDescent="0.35">
      <c r="A1105" s="20" t="s">
        <v>2204</v>
      </c>
      <c r="B1105" s="2" t="s">
        <v>2205</v>
      </c>
      <c r="C1105" s="17" t="s">
        <v>3109</v>
      </c>
      <c r="D1105" s="2" t="s">
        <v>597</v>
      </c>
      <c r="E1105" s="15" t="s">
        <v>169</v>
      </c>
      <c r="F1105" t="s">
        <v>170</v>
      </c>
      <c r="G1105" s="2" t="str">
        <f t="shared" si="17"/>
        <v>Small</v>
      </c>
      <c r="H1105" s="3">
        <v>293</v>
      </c>
      <c r="I1105" s="4">
        <v>1.1000000000000001</v>
      </c>
      <c r="J1105" s="5">
        <v>51728.692832764507</v>
      </c>
      <c r="K1105" s="6">
        <v>4.2674740294713024E-3</v>
      </c>
      <c r="L1105" s="5">
        <v>235.24573378839591</v>
      </c>
      <c r="M1105" s="5">
        <v>49.488054607508531</v>
      </c>
      <c r="N1105" s="11">
        <v>624.24232081911259</v>
      </c>
      <c r="O1105" s="13">
        <v>2024</v>
      </c>
    </row>
    <row r="1106" spans="1:15" ht="14.5" customHeight="1" x14ac:dyDescent="0.35">
      <c r="A1106" s="20" t="s">
        <v>2206</v>
      </c>
      <c r="B1106" s="2" t="s">
        <v>2207</v>
      </c>
      <c r="C1106" s="17" t="s">
        <v>3109</v>
      </c>
      <c r="D1106" s="2" t="s">
        <v>69</v>
      </c>
      <c r="E1106" s="15" t="s">
        <v>173</v>
      </c>
      <c r="F1106" t="s">
        <v>170</v>
      </c>
      <c r="G1106" s="2" t="str">
        <f t="shared" si="17"/>
        <v>Medium</v>
      </c>
      <c r="H1106" s="3">
        <v>1794</v>
      </c>
      <c r="I1106" s="4">
        <v>1.6</v>
      </c>
      <c r="J1106" s="5">
        <v>203252.02229654405</v>
      </c>
      <c r="K1106" s="6">
        <v>4.8755803790258489E-3</v>
      </c>
      <c r="L1106" s="5">
        <v>1278.1499442586398</v>
      </c>
      <c r="M1106" s="5">
        <v>2778.4324749163879</v>
      </c>
      <c r="N1106" s="11">
        <v>4595.7062430323303</v>
      </c>
      <c r="O1106" s="13">
        <v>2024</v>
      </c>
    </row>
    <row r="1107" spans="1:15" ht="14.5" customHeight="1" x14ac:dyDescent="0.35">
      <c r="A1107" s="20" t="s">
        <v>2208</v>
      </c>
      <c r="B1107" s="2" t="s">
        <v>2209</v>
      </c>
      <c r="C1107" s="17" t="s">
        <v>3109</v>
      </c>
      <c r="D1107" s="2" t="s">
        <v>597</v>
      </c>
      <c r="E1107" s="15" t="s">
        <v>169</v>
      </c>
      <c r="F1107" t="s">
        <v>170</v>
      </c>
      <c r="G1107" s="2" t="str">
        <f t="shared" si="17"/>
        <v>Small</v>
      </c>
      <c r="H1107" s="3">
        <v>631</v>
      </c>
      <c r="I1107" s="4">
        <v>1.2</v>
      </c>
      <c r="J1107" s="5">
        <v>46594.643423137873</v>
      </c>
      <c r="K1107" s="6">
        <v>8.7521759301144655E-3</v>
      </c>
      <c r="L1107" s="5">
        <v>412.92877971473848</v>
      </c>
      <c r="M1107" s="5">
        <v>2418.0380348652934</v>
      </c>
      <c r="N1107" s="11">
        <v>1823.4485895404121</v>
      </c>
      <c r="O1107" s="13">
        <v>2024</v>
      </c>
    </row>
    <row r="1108" spans="1:15" ht="14.5" customHeight="1" x14ac:dyDescent="0.35">
      <c r="A1108" s="20" t="s">
        <v>2210</v>
      </c>
      <c r="B1108" s="2" t="s">
        <v>2211</v>
      </c>
      <c r="C1108" s="17" t="s">
        <v>3109</v>
      </c>
      <c r="D1108" s="2" t="s">
        <v>7</v>
      </c>
      <c r="E1108" s="15" t="s">
        <v>178</v>
      </c>
      <c r="F1108" t="s">
        <v>170</v>
      </c>
      <c r="G1108" s="2" t="str">
        <f t="shared" si="17"/>
        <v>Small</v>
      </c>
      <c r="H1108" s="3">
        <v>689</v>
      </c>
      <c r="I1108" s="4">
        <v>1</v>
      </c>
      <c r="J1108" s="5">
        <v>63697.621190130623</v>
      </c>
      <c r="K1108" s="6">
        <v>4.7360919963358268E-3</v>
      </c>
      <c r="L1108" s="5">
        <v>632.66182873730043</v>
      </c>
      <c r="M1108" s="5">
        <v>1727.5108853410741</v>
      </c>
      <c r="N1108" s="11">
        <v>3399.0928882438316</v>
      </c>
      <c r="O1108" s="13">
        <v>2024</v>
      </c>
    </row>
    <row r="1109" spans="1:15" ht="14.5" customHeight="1" x14ac:dyDescent="0.35">
      <c r="A1109" s="20" t="s">
        <v>2212</v>
      </c>
      <c r="B1109" s="2" t="s">
        <v>2213</v>
      </c>
      <c r="C1109" s="17" t="s">
        <v>3109</v>
      </c>
      <c r="D1109" s="2" t="s">
        <v>51</v>
      </c>
      <c r="E1109" s="15" t="s">
        <v>217</v>
      </c>
      <c r="F1109" t="s">
        <v>170</v>
      </c>
      <c r="G1109" s="2" t="str">
        <f t="shared" si="17"/>
        <v>Medium</v>
      </c>
      <c r="H1109" s="3">
        <v>2562</v>
      </c>
      <c r="I1109" s="4">
        <v>1.1000000000000001</v>
      </c>
      <c r="J1109" s="5">
        <v>105706.12177985949</v>
      </c>
      <c r="K1109" s="6">
        <v>5.7258537585187317E-3</v>
      </c>
      <c r="L1109" s="5">
        <v>972.58243950039025</v>
      </c>
      <c r="M1109" s="5">
        <v>11257.901600312256</v>
      </c>
      <c r="N1109" s="11">
        <v>3862.8646838407494</v>
      </c>
      <c r="O1109" s="13">
        <v>2024</v>
      </c>
    </row>
    <row r="1110" spans="1:15" ht="14.5" customHeight="1" x14ac:dyDescent="0.35">
      <c r="A1110" s="20" t="s">
        <v>2214</v>
      </c>
      <c r="B1110" s="2" t="s">
        <v>2215</v>
      </c>
      <c r="C1110" s="17" t="s">
        <v>3109</v>
      </c>
      <c r="D1110" s="2" t="s">
        <v>53</v>
      </c>
      <c r="E1110" s="15" t="s">
        <v>207</v>
      </c>
      <c r="F1110" t="s">
        <v>208</v>
      </c>
      <c r="G1110" s="2" t="str">
        <f t="shared" si="17"/>
        <v>Medium</v>
      </c>
      <c r="H1110" s="3">
        <v>3075</v>
      </c>
      <c r="I1110" s="4">
        <v>2</v>
      </c>
      <c r="J1110" s="5">
        <v>157129.53723577235</v>
      </c>
      <c r="K1110" s="6">
        <v>5.8055018421991665E-3</v>
      </c>
      <c r="L1110" s="5">
        <v>1176.2670536585367</v>
      </c>
      <c r="M1110" s="5">
        <v>457.17398373983741</v>
      </c>
      <c r="N1110" s="11">
        <v>2737.9380845528453</v>
      </c>
      <c r="O1110" s="13">
        <v>2024</v>
      </c>
    </row>
    <row r="1111" spans="1:15" ht="14.5" customHeight="1" x14ac:dyDescent="0.35">
      <c r="A1111" s="20" t="s">
        <v>2216</v>
      </c>
      <c r="B1111" s="2" t="s">
        <v>2217</v>
      </c>
      <c r="C1111" s="17" t="s">
        <v>3109</v>
      </c>
      <c r="D1111" s="2" t="s">
        <v>30</v>
      </c>
      <c r="E1111" s="15" t="s">
        <v>273</v>
      </c>
      <c r="F1111" t="s">
        <v>208</v>
      </c>
      <c r="G1111" s="2" t="str">
        <f t="shared" si="17"/>
        <v>Small</v>
      </c>
      <c r="H1111" s="3">
        <v>293</v>
      </c>
      <c r="I1111" s="4">
        <v>1.3</v>
      </c>
      <c r="J1111" s="5">
        <v>1360333.7133105802</v>
      </c>
      <c r="K1111" s="6">
        <v>3.5064824913545478E-3</v>
      </c>
      <c r="L1111" s="5">
        <v>4839.1501706484642</v>
      </c>
      <c r="M1111" s="5">
        <v>0</v>
      </c>
      <c r="N1111" s="11">
        <v>4162.3583617747445</v>
      </c>
      <c r="O1111" s="13">
        <v>2024</v>
      </c>
    </row>
    <row r="1112" spans="1:15" ht="14.5" customHeight="1" x14ac:dyDescent="0.35">
      <c r="A1112" s="20" t="s">
        <v>2218</v>
      </c>
      <c r="B1112" s="2" t="s">
        <v>2219</v>
      </c>
      <c r="C1112" s="17" t="s">
        <v>3109</v>
      </c>
      <c r="D1112" s="2" t="s">
        <v>248</v>
      </c>
      <c r="E1112" s="15" t="s">
        <v>217</v>
      </c>
      <c r="F1112" t="s">
        <v>170</v>
      </c>
      <c r="G1112" s="2" t="str">
        <f t="shared" si="17"/>
        <v>Medium</v>
      </c>
      <c r="H1112" s="3">
        <v>2746</v>
      </c>
      <c r="I1112" s="4">
        <v>2.2000000000000002</v>
      </c>
      <c r="J1112" s="5">
        <v>74274.520029133288</v>
      </c>
      <c r="K1112" s="6">
        <v>8.8152927611036772E-3</v>
      </c>
      <c r="L1112" s="5">
        <v>676.60961398397671</v>
      </c>
      <c r="M1112" s="5">
        <v>3510.6932774945376</v>
      </c>
      <c r="N1112" s="11">
        <v>1695.0983248361254</v>
      </c>
      <c r="O1112" s="13">
        <v>2024</v>
      </c>
    </row>
    <row r="1113" spans="1:15" ht="14.5" customHeight="1" x14ac:dyDescent="0.35">
      <c r="A1113" s="20" t="s">
        <v>2220</v>
      </c>
      <c r="B1113" s="2" t="s">
        <v>2221</v>
      </c>
      <c r="C1113" s="17" t="s">
        <v>3109</v>
      </c>
      <c r="D1113" s="2" t="s">
        <v>597</v>
      </c>
      <c r="E1113" s="15" t="s">
        <v>169</v>
      </c>
      <c r="F1113" t="s">
        <v>170</v>
      </c>
      <c r="G1113" s="2" t="str">
        <f t="shared" si="17"/>
        <v>Small</v>
      </c>
      <c r="H1113" s="3">
        <v>639</v>
      </c>
      <c r="I1113" s="4">
        <v>0.4</v>
      </c>
      <c r="J1113" s="5">
        <v>50065.93896713615</v>
      </c>
      <c r="K1113" s="6">
        <v>2.3755807482057699E-3</v>
      </c>
      <c r="L1113" s="5">
        <v>158.38713615023474</v>
      </c>
      <c r="M1113" s="5">
        <v>0</v>
      </c>
      <c r="N1113" s="11">
        <v>607.60705790297334</v>
      </c>
      <c r="O1113" s="13">
        <v>2024</v>
      </c>
    </row>
    <row r="1114" spans="1:15" ht="14.5" customHeight="1" x14ac:dyDescent="0.35">
      <c r="A1114" s="20" t="s">
        <v>2222</v>
      </c>
      <c r="B1114" s="2" t="s">
        <v>2223</v>
      </c>
      <c r="C1114" s="17" t="s">
        <v>3109</v>
      </c>
      <c r="D1114" s="2" t="s">
        <v>55</v>
      </c>
      <c r="E1114" s="15" t="s">
        <v>207</v>
      </c>
      <c r="F1114" t="s">
        <v>208</v>
      </c>
      <c r="G1114" s="2" t="str">
        <f t="shared" si="17"/>
        <v>Medium</v>
      </c>
      <c r="H1114" s="3">
        <v>8327</v>
      </c>
      <c r="I1114" s="4">
        <v>4.5999999999999996</v>
      </c>
      <c r="J1114" s="5">
        <v>191658.36483727634</v>
      </c>
      <c r="K1114" s="6">
        <v>8.064074726495658E-3</v>
      </c>
      <c r="L1114" s="5">
        <v>1848.6731115647892</v>
      </c>
      <c r="M1114" s="5">
        <v>3740.569953164405</v>
      </c>
      <c r="N1114" s="11">
        <v>3347.2374204395342</v>
      </c>
      <c r="O1114" s="13">
        <v>2024</v>
      </c>
    </row>
    <row r="1115" spans="1:15" ht="14.5" customHeight="1" x14ac:dyDescent="0.35">
      <c r="A1115" s="20" t="s">
        <v>2224</v>
      </c>
      <c r="B1115" s="2" t="s">
        <v>2225</v>
      </c>
      <c r="C1115" s="17" t="s">
        <v>3109</v>
      </c>
      <c r="D1115" s="2" t="s">
        <v>193</v>
      </c>
      <c r="E1115" s="15" t="s">
        <v>186</v>
      </c>
      <c r="F1115" t="s">
        <v>170</v>
      </c>
      <c r="G1115" s="2" t="str">
        <f t="shared" si="17"/>
        <v>Medium</v>
      </c>
      <c r="H1115" s="3">
        <v>1517</v>
      </c>
      <c r="I1115" s="4">
        <v>1.2</v>
      </c>
      <c r="J1115" s="5">
        <v>37930.497692814766</v>
      </c>
      <c r="K1115" s="6">
        <v>1.3173332587193052E-2</v>
      </c>
      <c r="L1115" s="5">
        <v>520.5029663810152</v>
      </c>
      <c r="M1115" s="5">
        <v>1224.7547791694133</v>
      </c>
      <c r="N1115" s="11">
        <v>2751.5629531970994</v>
      </c>
      <c r="O1115" s="13">
        <v>2024</v>
      </c>
    </row>
    <row r="1116" spans="1:15" ht="14.5" customHeight="1" x14ac:dyDescent="0.35">
      <c r="A1116" s="20" t="s">
        <v>2226</v>
      </c>
      <c r="B1116" s="2" t="s">
        <v>2227</v>
      </c>
      <c r="C1116" s="17" t="s">
        <v>3109</v>
      </c>
      <c r="D1116" s="2" t="s">
        <v>73</v>
      </c>
      <c r="E1116" s="15" t="s">
        <v>169</v>
      </c>
      <c r="F1116" t="s">
        <v>170</v>
      </c>
      <c r="G1116" s="2" t="str">
        <f t="shared" si="17"/>
        <v>Medium</v>
      </c>
      <c r="H1116" s="3">
        <v>3287</v>
      </c>
      <c r="I1116" s="4">
        <v>1.2</v>
      </c>
      <c r="J1116" s="5">
        <v>16826.313964101006</v>
      </c>
      <c r="K1116" s="6" t="s">
        <v>27</v>
      </c>
      <c r="L1116" s="5">
        <v>0</v>
      </c>
      <c r="M1116" s="5">
        <v>0</v>
      </c>
      <c r="N1116" s="11">
        <v>0</v>
      </c>
      <c r="O1116" s="13">
        <v>2024</v>
      </c>
    </row>
    <row r="1117" spans="1:15" ht="14.5" customHeight="1" x14ac:dyDescent="0.35">
      <c r="A1117" s="20" t="s">
        <v>2228</v>
      </c>
      <c r="B1117" s="2" t="s">
        <v>2229</v>
      </c>
      <c r="C1117" s="17" t="s">
        <v>3109</v>
      </c>
      <c r="D1117" s="2" t="s">
        <v>269</v>
      </c>
      <c r="E1117" s="15" t="s">
        <v>178</v>
      </c>
      <c r="F1117" t="s">
        <v>170</v>
      </c>
      <c r="G1117" s="2" t="str">
        <f t="shared" si="17"/>
        <v>Medium</v>
      </c>
      <c r="H1117" s="3">
        <v>4433</v>
      </c>
      <c r="I1117" s="4">
        <v>2.6</v>
      </c>
      <c r="J1117" s="5">
        <v>48368.494698849536</v>
      </c>
      <c r="K1117" s="6">
        <v>1.1566996966297585E-2</v>
      </c>
      <c r="L1117" s="5">
        <v>614.26080532370861</v>
      </c>
      <c r="M1117" s="5">
        <v>2781.9767944958271</v>
      </c>
      <c r="N1117" s="11">
        <v>1548.3239905256034</v>
      </c>
      <c r="O1117" s="13">
        <v>2024</v>
      </c>
    </row>
    <row r="1118" spans="1:15" ht="14.5" customHeight="1" x14ac:dyDescent="0.35">
      <c r="A1118" s="20" t="s">
        <v>2230</v>
      </c>
      <c r="B1118" s="2" t="s">
        <v>2231</v>
      </c>
      <c r="C1118" s="17" t="s">
        <v>3109</v>
      </c>
      <c r="D1118" s="2" t="s">
        <v>67</v>
      </c>
      <c r="E1118" s="15" t="s">
        <v>183</v>
      </c>
      <c r="F1118" t="s">
        <v>170</v>
      </c>
      <c r="G1118" s="2" t="str">
        <f t="shared" si="17"/>
        <v>Small</v>
      </c>
      <c r="H1118" s="3">
        <v>408</v>
      </c>
      <c r="I1118" s="4">
        <v>0.3</v>
      </c>
      <c r="J1118" s="5">
        <v>49947.13970588235</v>
      </c>
      <c r="K1118" s="6">
        <v>4.4747797831167883E-3</v>
      </c>
      <c r="L1118" s="5">
        <v>452.01105392156859</v>
      </c>
      <c r="M1118" s="5">
        <v>0</v>
      </c>
      <c r="N1118" s="11">
        <v>898.591544117647</v>
      </c>
      <c r="O1118" s="13">
        <v>2024</v>
      </c>
    </row>
    <row r="1119" spans="1:15" ht="14.5" customHeight="1" x14ac:dyDescent="0.35">
      <c r="A1119" s="20" t="s">
        <v>2232</v>
      </c>
      <c r="B1119" s="2" t="s">
        <v>2233</v>
      </c>
      <c r="C1119" s="17" t="s">
        <v>3109</v>
      </c>
      <c r="D1119" s="2" t="s">
        <v>94</v>
      </c>
      <c r="E1119" s="15" t="s">
        <v>169</v>
      </c>
      <c r="F1119" t="s">
        <v>170</v>
      </c>
      <c r="G1119" s="2" t="str">
        <f t="shared" si="17"/>
        <v>Small</v>
      </c>
      <c r="H1119" s="3">
        <v>245</v>
      </c>
      <c r="I1119" s="4">
        <v>0.7</v>
      </c>
      <c r="J1119" s="5">
        <v>106514.95918367348</v>
      </c>
      <c r="K1119" s="6">
        <v>6.9999940604299517E-3</v>
      </c>
      <c r="L1119" s="5">
        <v>1184.5078775510203</v>
      </c>
      <c r="M1119" s="5">
        <v>8762.4489795918362</v>
      </c>
      <c r="N1119" s="11">
        <v>2101.626081632653</v>
      </c>
      <c r="O1119" s="13">
        <v>2024</v>
      </c>
    </row>
    <row r="1120" spans="1:15" ht="14.5" customHeight="1" x14ac:dyDescent="0.35">
      <c r="A1120" s="20" t="s">
        <v>2234</v>
      </c>
      <c r="B1120" s="2" t="s">
        <v>2235</v>
      </c>
      <c r="C1120" s="17" t="s">
        <v>3109</v>
      </c>
      <c r="D1120" s="2" t="s">
        <v>86</v>
      </c>
      <c r="E1120" s="15" t="s">
        <v>217</v>
      </c>
      <c r="F1120" t="s">
        <v>170</v>
      </c>
      <c r="G1120" s="2" t="str">
        <f t="shared" si="17"/>
        <v>Small</v>
      </c>
      <c r="H1120" s="3">
        <v>335</v>
      </c>
      <c r="I1120" s="4">
        <v>0.6</v>
      </c>
      <c r="J1120" s="5">
        <v>75096.716417910444</v>
      </c>
      <c r="K1120" s="6">
        <v>3.1953985705995055E-3</v>
      </c>
      <c r="L1120" s="5">
        <v>361.28399999999993</v>
      </c>
      <c r="M1120" s="5">
        <v>277.0149253731343</v>
      </c>
      <c r="N1120" s="11">
        <v>1411.9982089552238</v>
      </c>
      <c r="O1120" s="13">
        <v>2024</v>
      </c>
    </row>
    <row r="1121" spans="1:15" ht="14.5" customHeight="1" x14ac:dyDescent="0.35">
      <c r="A1121" s="20" t="s">
        <v>2236</v>
      </c>
      <c r="B1121" s="2" t="s">
        <v>2237</v>
      </c>
      <c r="C1121" s="17" t="s">
        <v>3109</v>
      </c>
      <c r="D1121" s="2" t="s">
        <v>65</v>
      </c>
      <c r="E1121" s="15" t="s">
        <v>186</v>
      </c>
      <c r="F1121" t="s">
        <v>170</v>
      </c>
      <c r="G1121" s="2" t="str">
        <f t="shared" si="17"/>
        <v>Medium</v>
      </c>
      <c r="H1121" s="3">
        <v>1043</v>
      </c>
      <c r="I1121" s="4">
        <v>1</v>
      </c>
      <c r="J1121" s="5">
        <v>45682.05465004794</v>
      </c>
      <c r="K1121" s="6">
        <v>2.3147362518577746E-3</v>
      </c>
      <c r="L1121" s="5">
        <v>275.02985618408434</v>
      </c>
      <c r="M1121" s="5">
        <v>310.84178331735376</v>
      </c>
      <c r="N1121" s="11">
        <v>647.0492521572387</v>
      </c>
      <c r="O1121" s="13">
        <v>2024</v>
      </c>
    </row>
    <row r="1122" spans="1:15" ht="14.5" customHeight="1" x14ac:dyDescent="0.35">
      <c r="A1122" s="20" t="s">
        <v>2238</v>
      </c>
      <c r="B1122" s="2" t="s">
        <v>2239</v>
      </c>
      <c r="C1122" s="17" t="s">
        <v>3109</v>
      </c>
      <c r="D1122" s="2" t="s">
        <v>220</v>
      </c>
      <c r="E1122" s="15" t="s">
        <v>173</v>
      </c>
      <c r="F1122" t="s">
        <v>170</v>
      </c>
      <c r="G1122" s="2" t="str">
        <f t="shared" si="17"/>
        <v>Medium</v>
      </c>
      <c r="H1122" s="3">
        <v>2721</v>
      </c>
      <c r="I1122" s="4">
        <v>3.1</v>
      </c>
      <c r="J1122" s="5">
        <v>42328.266813671442</v>
      </c>
      <c r="K1122" s="6" t="s">
        <v>27</v>
      </c>
      <c r="L1122" s="5">
        <v>0</v>
      </c>
      <c r="M1122" s="5">
        <v>0</v>
      </c>
      <c r="N1122" s="11">
        <v>0</v>
      </c>
      <c r="O1122" s="13">
        <v>2024</v>
      </c>
    </row>
    <row r="1123" spans="1:15" ht="14.5" customHeight="1" x14ac:dyDescent="0.35">
      <c r="A1123" s="20" t="s">
        <v>2240</v>
      </c>
      <c r="B1123" s="2" t="s">
        <v>2241</v>
      </c>
      <c r="C1123" s="17" t="s">
        <v>3109</v>
      </c>
      <c r="D1123" s="2" t="s">
        <v>13</v>
      </c>
      <c r="E1123" s="15" t="s">
        <v>186</v>
      </c>
      <c r="F1123" t="s">
        <v>170</v>
      </c>
      <c r="G1123" s="2" t="str">
        <f t="shared" si="17"/>
        <v>Large</v>
      </c>
      <c r="H1123" s="3">
        <v>15178</v>
      </c>
      <c r="I1123" s="4">
        <v>5.0999999999999996</v>
      </c>
      <c r="J1123" s="5">
        <v>81836.304783238898</v>
      </c>
      <c r="K1123" s="6">
        <v>8.9449945438631242E-3</v>
      </c>
      <c r="L1123" s="5">
        <v>932.71946237976022</v>
      </c>
      <c r="M1123" s="5">
        <v>573.0697720384768</v>
      </c>
      <c r="N1123" s="11">
        <v>1360.0225326129926</v>
      </c>
      <c r="O1123" s="13">
        <v>2024</v>
      </c>
    </row>
    <row r="1124" spans="1:15" ht="14.5" customHeight="1" x14ac:dyDescent="0.35">
      <c r="A1124" s="20" t="s">
        <v>2242</v>
      </c>
      <c r="B1124" s="2" t="s">
        <v>2243</v>
      </c>
      <c r="C1124" s="17" t="s">
        <v>3109</v>
      </c>
      <c r="D1124" s="2" t="s">
        <v>11</v>
      </c>
      <c r="E1124" s="15" t="s">
        <v>173</v>
      </c>
      <c r="F1124" t="s">
        <v>170</v>
      </c>
      <c r="G1124" s="2" t="str">
        <f t="shared" si="17"/>
        <v>Medium</v>
      </c>
      <c r="H1124" s="3">
        <v>1387</v>
      </c>
      <c r="I1124" s="4">
        <v>1.3</v>
      </c>
      <c r="J1124" s="5">
        <v>64826.186012977647</v>
      </c>
      <c r="K1124" s="6">
        <v>7.4367967718457842E-3</v>
      </c>
      <c r="L1124" s="5">
        <v>714.00699351117521</v>
      </c>
      <c r="M1124" s="5">
        <v>1591.7627974044701</v>
      </c>
      <c r="N1124" s="11">
        <v>1513.9095025234319</v>
      </c>
      <c r="O1124" s="13">
        <v>2024</v>
      </c>
    </row>
    <row r="1125" spans="1:15" ht="14.5" customHeight="1" x14ac:dyDescent="0.35">
      <c r="A1125" s="20" t="s">
        <v>2244</v>
      </c>
      <c r="B1125" s="2" t="s">
        <v>2245</v>
      </c>
      <c r="C1125" s="17" t="s">
        <v>3109</v>
      </c>
      <c r="D1125" s="2" t="s">
        <v>272</v>
      </c>
      <c r="E1125" s="15" t="s">
        <v>273</v>
      </c>
      <c r="F1125" t="s">
        <v>208</v>
      </c>
      <c r="G1125" s="2" t="str">
        <f t="shared" ref="G1125:G1188" si="18">IF(H1125&lt;=1000,"Small",IF(H1125&lt;=11000,"Medium",IF(H1125&gt;=11000,"Large")))</f>
        <v>Small</v>
      </c>
      <c r="H1125" s="3">
        <v>50</v>
      </c>
      <c r="I1125" s="4">
        <v>0.3</v>
      </c>
      <c r="J1125" s="5">
        <v>3593386.1</v>
      </c>
      <c r="K1125" s="6">
        <v>1.2598590504927928E-3</v>
      </c>
      <c r="L1125" s="5">
        <v>4570.0600000000004</v>
      </c>
      <c r="M1125" s="5">
        <v>8427.68</v>
      </c>
      <c r="N1125" s="11">
        <v>6012.54</v>
      </c>
      <c r="O1125" s="13">
        <v>2024</v>
      </c>
    </row>
    <row r="1126" spans="1:15" ht="14.5" customHeight="1" x14ac:dyDescent="0.35">
      <c r="A1126" s="20" t="s">
        <v>2246</v>
      </c>
      <c r="B1126" s="2" t="s">
        <v>2247</v>
      </c>
      <c r="C1126" s="17" t="s">
        <v>3109</v>
      </c>
      <c r="D1126" s="2" t="s">
        <v>94</v>
      </c>
      <c r="E1126" s="15" t="s">
        <v>169</v>
      </c>
      <c r="F1126" t="s">
        <v>170</v>
      </c>
      <c r="G1126" s="2" t="str">
        <f t="shared" si="18"/>
        <v>Medium</v>
      </c>
      <c r="H1126" s="3">
        <v>1004</v>
      </c>
      <c r="I1126" s="4">
        <v>0.7</v>
      </c>
      <c r="J1126" s="5">
        <v>57131.550796812749</v>
      </c>
      <c r="K1126" s="6">
        <v>6.7500001786957161E-3</v>
      </c>
      <c r="L1126" s="5">
        <v>622.41667330677285</v>
      </c>
      <c r="M1126" s="5">
        <v>4913.6045119521914</v>
      </c>
      <c r="N1126" s="11">
        <v>3567.3135059760953</v>
      </c>
      <c r="O1126" s="13">
        <v>2024</v>
      </c>
    </row>
    <row r="1127" spans="1:15" ht="14.5" customHeight="1" x14ac:dyDescent="0.35">
      <c r="A1127" s="20" t="s">
        <v>2248</v>
      </c>
      <c r="B1127" s="2" t="s">
        <v>2249</v>
      </c>
      <c r="C1127" s="17" t="s">
        <v>3109</v>
      </c>
      <c r="D1127" s="2" t="s">
        <v>55</v>
      </c>
      <c r="E1127" s="15" t="s">
        <v>207</v>
      </c>
      <c r="F1127" t="s">
        <v>208</v>
      </c>
      <c r="G1127" s="2" t="str">
        <f t="shared" si="18"/>
        <v>Large</v>
      </c>
      <c r="H1127" s="3">
        <v>11541</v>
      </c>
      <c r="I1127" s="4">
        <v>2.4</v>
      </c>
      <c r="J1127" s="5">
        <v>205497.53123646131</v>
      </c>
      <c r="K1127" s="6">
        <v>6.8967105748985059E-3</v>
      </c>
      <c r="L1127" s="5">
        <v>1748.5395546313143</v>
      </c>
      <c r="M1127" s="5">
        <v>1315.2803049995669</v>
      </c>
      <c r="N1127" s="11">
        <v>2500.5669352742398</v>
      </c>
      <c r="O1127" s="13">
        <v>2024</v>
      </c>
    </row>
    <row r="1128" spans="1:15" ht="14.5" customHeight="1" x14ac:dyDescent="0.35">
      <c r="A1128" s="20" t="s">
        <v>2250</v>
      </c>
      <c r="B1128" s="2" t="s">
        <v>2251</v>
      </c>
      <c r="C1128" s="17" t="s">
        <v>3109</v>
      </c>
      <c r="D1128" s="2" t="s">
        <v>46</v>
      </c>
      <c r="E1128" s="15" t="s">
        <v>214</v>
      </c>
      <c r="F1128" t="s">
        <v>170</v>
      </c>
      <c r="G1128" s="2" t="str">
        <f t="shared" si="18"/>
        <v>Medium</v>
      </c>
      <c r="H1128" s="3">
        <v>2042</v>
      </c>
      <c r="I1128" s="4">
        <v>1.8</v>
      </c>
      <c r="J1128" s="5">
        <v>36025.665523996082</v>
      </c>
      <c r="K1128" s="6">
        <v>1.4251728712997612E-2</v>
      </c>
      <c r="L1128" s="5">
        <v>638.92948090107734</v>
      </c>
      <c r="M1128" s="5">
        <v>885.44123408423116</v>
      </c>
      <c r="N1128" s="11">
        <v>1601.6689520078355</v>
      </c>
      <c r="O1128" s="13">
        <v>2024</v>
      </c>
    </row>
    <row r="1129" spans="1:15" ht="14.5" customHeight="1" x14ac:dyDescent="0.35">
      <c r="A1129" s="20" t="s">
        <v>2252</v>
      </c>
      <c r="B1129" s="2" t="s">
        <v>2253</v>
      </c>
      <c r="C1129" s="17" t="s">
        <v>3109</v>
      </c>
      <c r="D1129" s="2" t="s">
        <v>289</v>
      </c>
      <c r="E1129" s="15" t="s">
        <v>178</v>
      </c>
      <c r="F1129" t="s">
        <v>170</v>
      </c>
      <c r="G1129" s="2" t="str">
        <f t="shared" si="18"/>
        <v>Small</v>
      </c>
      <c r="H1129" s="3">
        <v>293</v>
      </c>
      <c r="I1129" s="4">
        <v>0.3</v>
      </c>
      <c r="J1129" s="5">
        <v>59553.880546075088</v>
      </c>
      <c r="K1129" s="6">
        <v>1.0647426453585181E-2</v>
      </c>
      <c r="L1129" s="5">
        <v>684.14334470989763</v>
      </c>
      <c r="M1129" s="5">
        <v>802.04778156996588</v>
      </c>
      <c r="N1129" s="11">
        <v>1991.6825938566553</v>
      </c>
      <c r="O1129" s="13">
        <v>2024</v>
      </c>
    </row>
    <row r="1130" spans="1:15" ht="14.5" customHeight="1" x14ac:dyDescent="0.35">
      <c r="A1130" s="20" t="s">
        <v>2254</v>
      </c>
      <c r="B1130" s="2" t="s">
        <v>2255</v>
      </c>
      <c r="C1130" s="17" t="s">
        <v>3109</v>
      </c>
      <c r="D1130" s="2" t="s">
        <v>39</v>
      </c>
      <c r="E1130" s="15" t="s">
        <v>173</v>
      </c>
      <c r="F1130" t="s">
        <v>170</v>
      </c>
      <c r="G1130" s="2" t="str">
        <f t="shared" si="18"/>
        <v>Medium</v>
      </c>
      <c r="H1130" s="3">
        <v>1887</v>
      </c>
      <c r="I1130" s="4">
        <v>1.8</v>
      </c>
      <c r="J1130" s="5">
        <v>75154.793322734506</v>
      </c>
      <c r="K1130" s="6">
        <v>9.4735248243520975E-3</v>
      </c>
      <c r="L1130" s="5">
        <v>1049.7408161102278</v>
      </c>
      <c r="M1130" s="5">
        <v>6134.2869846316898</v>
      </c>
      <c r="N1130" s="11">
        <v>2543.9864970853205</v>
      </c>
      <c r="O1130" s="13">
        <v>2024</v>
      </c>
    </row>
    <row r="1131" spans="1:15" ht="14.5" customHeight="1" x14ac:dyDescent="0.35">
      <c r="A1131" s="20" t="s">
        <v>2256</v>
      </c>
      <c r="B1131" s="2" t="s">
        <v>2257</v>
      </c>
      <c r="C1131" s="17" t="s">
        <v>3109</v>
      </c>
      <c r="D1131" s="2" t="s">
        <v>289</v>
      </c>
      <c r="E1131" s="15" t="s">
        <v>178</v>
      </c>
      <c r="F1131" t="s">
        <v>170</v>
      </c>
      <c r="G1131" s="2" t="str">
        <f t="shared" si="18"/>
        <v>Medium</v>
      </c>
      <c r="H1131" s="3">
        <v>1690</v>
      </c>
      <c r="I1131" s="4">
        <v>1.1000000000000001</v>
      </c>
      <c r="J1131" s="5">
        <v>39146.160355029584</v>
      </c>
      <c r="K1131" s="6">
        <v>1.1301461609261642E-2</v>
      </c>
      <c r="L1131" s="5">
        <v>502.22154437869824</v>
      </c>
      <c r="M1131" s="5">
        <v>5950.8970414201185</v>
      </c>
      <c r="N1131" s="11">
        <v>5574.4912426035498</v>
      </c>
      <c r="O1131" s="13">
        <v>2024</v>
      </c>
    </row>
    <row r="1132" spans="1:15" ht="14.5" customHeight="1" x14ac:dyDescent="0.35">
      <c r="A1132" s="20" t="s">
        <v>2258</v>
      </c>
      <c r="B1132" s="2" t="s">
        <v>2259</v>
      </c>
      <c r="C1132" s="17" t="s">
        <v>3109</v>
      </c>
      <c r="D1132" s="2" t="s">
        <v>61</v>
      </c>
      <c r="E1132" s="15" t="s">
        <v>173</v>
      </c>
      <c r="F1132" t="s">
        <v>170</v>
      </c>
      <c r="G1132" s="2" t="str">
        <f t="shared" si="18"/>
        <v>Small</v>
      </c>
      <c r="H1132" s="3">
        <v>774</v>
      </c>
      <c r="I1132" s="4">
        <v>1.1000000000000001</v>
      </c>
      <c r="J1132" s="5">
        <v>47471.189922480618</v>
      </c>
      <c r="K1132" s="6">
        <v>6.3555480039423342E-3</v>
      </c>
      <c r="L1132" s="5">
        <v>474.04005167958655</v>
      </c>
      <c r="M1132" s="5">
        <v>2978.0361757105943</v>
      </c>
      <c r="N1132" s="11">
        <v>906.28811369509049</v>
      </c>
      <c r="O1132" s="13">
        <v>2024</v>
      </c>
    </row>
    <row r="1133" spans="1:15" ht="14.5" customHeight="1" x14ac:dyDescent="0.35">
      <c r="A1133" s="20" t="s">
        <v>2260</v>
      </c>
      <c r="B1133" s="2" t="s">
        <v>2261</v>
      </c>
      <c r="C1133" s="17" t="s">
        <v>3109</v>
      </c>
      <c r="D1133" s="2" t="s">
        <v>13</v>
      </c>
      <c r="E1133" s="15" t="s">
        <v>186</v>
      </c>
      <c r="F1133" t="s">
        <v>170</v>
      </c>
      <c r="G1133" s="2" t="str">
        <f t="shared" si="18"/>
        <v>Medium</v>
      </c>
      <c r="H1133" s="3">
        <v>5998</v>
      </c>
      <c r="I1133" s="4">
        <v>2.5</v>
      </c>
      <c r="J1133" s="5">
        <v>133957.91680560185</v>
      </c>
      <c r="K1133" s="6">
        <v>5.7065830739184255E-3</v>
      </c>
      <c r="L1133" s="5">
        <v>999.89496498832943</v>
      </c>
      <c r="M1133" s="5">
        <v>2320.7735911970658</v>
      </c>
      <c r="N1133" s="11">
        <v>1799.625875291764</v>
      </c>
      <c r="O1133" s="13">
        <v>2024</v>
      </c>
    </row>
    <row r="1134" spans="1:15" ht="14.5" customHeight="1" x14ac:dyDescent="0.35">
      <c r="A1134" s="20" t="s">
        <v>2262</v>
      </c>
      <c r="B1134" s="2" t="s">
        <v>2263</v>
      </c>
      <c r="C1134" s="17" t="s">
        <v>3109</v>
      </c>
      <c r="D1134" s="2" t="s">
        <v>272</v>
      </c>
      <c r="E1134" s="15" t="s">
        <v>273</v>
      </c>
      <c r="F1134" t="s">
        <v>208</v>
      </c>
      <c r="G1134" s="2" t="str">
        <f t="shared" si="18"/>
        <v>Medium</v>
      </c>
      <c r="H1134" s="3">
        <v>1517</v>
      </c>
      <c r="I1134" s="4">
        <v>4.8</v>
      </c>
      <c r="J1134" s="5">
        <v>8281490.8516809493</v>
      </c>
      <c r="K1134" s="6">
        <v>1.1478962970776299E-3</v>
      </c>
      <c r="L1134" s="5">
        <v>9840.916282135795</v>
      </c>
      <c r="M1134" s="5">
        <v>5662.8954383651953</v>
      </c>
      <c r="N1134" s="11">
        <v>21030.993408042188</v>
      </c>
      <c r="O1134" s="13">
        <v>2024</v>
      </c>
    </row>
    <row r="1135" spans="1:15" ht="14.5" customHeight="1" x14ac:dyDescent="0.35">
      <c r="A1135" s="20" t="s">
        <v>2264</v>
      </c>
      <c r="B1135" s="2" t="s">
        <v>2265</v>
      </c>
      <c r="C1135" s="17" t="s">
        <v>3109</v>
      </c>
      <c r="D1135" s="2" t="s">
        <v>30</v>
      </c>
      <c r="E1135" s="15" t="s">
        <v>273</v>
      </c>
      <c r="F1135" t="s">
        <v>208</v>
      </c>
      <c r="G1135" s="2" t="str">
        <f t="shared" si="18"/>
        <v>Medium</v>
      </c>
      <c r="H1135" s="3">
        <v>7284</v>
      </c>
      <c r="I1135" s="4">
        <v>2.2999999999999998</v>
      </c>
      <c r="J1135" s="5">
        <v>448558.69467325642</v>
      </c>
      <c r="K1135" s="6">
        <v>2.7298190609730357E-3</v>
      </c>
      <c r="L1135" s="5">
        <v>1287.0097473915432</v>
      </c>
      <c r="M1135" s="5">
        <v>394.01427786930259</v>
      </c>
      <c r="N1135" s="11">
        <v>1550.9655409115871</v>
      </c>
      <c r="O1135" s="13">
        <v>2024</v>
      </c>
    </row>
    <row r="1136" spans="1:15" ht="14.5" customHeight="1" x14ac:dyDescent="0.35">
      <c r="A1136" s="20" t="s">
        <v>2266</v>
      </c>
      <c r="B1136" s="2" t="s">
        <v>2267</v>
      </c>
      <c r="C1136" s="17" t="s">
        <v>3109</v>
      </c>
      <c r="D1136" s="2" t="s">
        <v>77</v>
      </c>
      <c r="E1136" s="15" t="s">
        <v>217</v>
      </c>
      <c r="F1136" t="s">
        <v>170</v>
      </c>
      <c r="G1136" s="2" t="str">
        <f t="shared" si="18"/>
        <v>Small</v>
      </c>
      <c r="H1136" s="3">
        <v>559</v>
      </c>
      <c r="I1136" s="4">
        <v>4.9000000000000004</v>
      </c>
      <c r="J1136" s="5">
        <v>87242.252236135959</v>
      </c>
      <c r="K1136" s="6">
        <v>1.1352197002736546E-3</v>
      </c>
      <c r="L1136" s="5">
        <v>234.99314847942753</v>
      </c>
      <c r="M1136" s="5">
        <v>0</v>
      </c>
      <c r="N1136" s="11">
        <v>396.35039355992842</v>
      </c>
      <c r="O1136" s="13">
        <v>2024</v>
      </c>
    </row>
    <row r="1137" spans="1:15" ht="14.5" customHeight="1" x14ac:dyDescent="0.35">
      <c r="A1137" s="20" t="s">
        <v>2268</v>
      </c>
      <c r="B1137" s="2" t="s">
        <v>2269</v>
      </c>
      <c r="C1137" s="17" t="s">
        <v>3109</v>
      </c>
      <c r="D1137" s="2" t="s">
        <v>79</v>
      </c>
      <c r="E1137" s="15" t="s">
        <v>178</v>
      </c>
      <c r="F1137" t="s">
        <v>170</v>
      </c>
      <c r="G1137" s="2" t="str">
        <f t="shared" si="18"/>
        <v>Medium</v>
      </c>
      <c r="H1137" s="3">
        <v>6334</v>
      </c>
      <c r="I1137" s="4">
        <v>1.3</v>
      </c>
      <c r="J1137" s="5">
        <v>58741.921376697188</v>
      </c>
      <c r="K1137" s="6">
        <v>1.3241399169347447E-2</v>
      </c>
      <c r="L1137" s="5">
        <v>1164.5975686769814</v>
      </c>
      <c r="M1137" s="5">
        <v>1442.2166087780233</v>
      </c>
      <c r="N1137" s="11">
        <v>2017.4461635617304</v>
      </c>
      <c r="O1137" s="13">
        <v>2024</v>
      </c>
    </row>
    <row r="1138" spans="1:15" ht="14.5" customHeight="1" x14ac:dyDescent="0.35">
      <c r="A1138" s="20" t="s">
        <v>2270</v>
      </c>
      <c r="B1138" s="2" t="s">
        <v>2271</v>
      </c>
      <c r="C1138" s="17" t="s">
        <v>3109</v>
      </c>
      <c r="D1138" s="2" t="s">
        <v>30</v>
      </c>
      <c r="E1138" s="15" t="s">
        <v>273</v>
      </c>
      <c r="F1138" t="s">
        <v>208</v>
      </c>
      <c r="G1138" s="2" t="str">
        <f t="shared" si="18"/>
        <v>Medium</v>
      </c>
      <c r="H1138" s="3">
        <v>10159</v>
      </c>
      <c r="I1138" s="4">
        <v>1</v>
      </c>
      <c r="J1138" s="5">
        <v>185139.82675460182</v>
      </c>
      <c r="K1138" s="6" t="s">
        <v>27</v>
      </c>
      <c r="L1138" s="5">
        <v>0</v>
      </c>
      <c r="M1138" s="5">
        <v>0</v>
      </c>
      <c r="N1138" s="11">
        <v>0</v>
      </c>
      <c r="O1138" s="13">
        <v>2024</v>
      </c>
    </row>
    <row r="1139" spans="1:15" ht="14.5" customHeight="1" x14ac:dyDescent="0.35">
      <c r="A1139" s="20" t="s">
        <v>2272</v>
      </c>
      <c r="B1139" s="2" t="s">
        <v>2273</v>
      </c>
      <c r="C1139" s="17" t="s">
        <v>3109</v>
      </c>
      <c r="D1139" s="2" t="s">
        <v>89</v>
      </c>
      <c r="E1139" s="15" t="s">
        <v>183</v>
      </c>
      <c r="F1139" t="s">
        <v>170</v>
      </c>
      <c r="G1139" s="2" t="str">
        <f t="shared" si="18"/>
        <v>Medium</v>
      </c>
      <c r="H1139" s="3">
        <v>3078</v>
      </c>
      <c r="I1139" s="4">
        <v>1.6</v>
      </c>
      <c r="J1139" s="5">
        <v>80154.344704353483</v>
      </c>
      <c r="K1139" s="6">
        <v>1.0755714953824486E-2</v>
      </c>
      <c r="L1139" s="5">
        <v>905.20110461338527</v>
      </c>
      <c r="M1139" s="5">
        <v>561.22222222222217</v>
      </c>
      <c r="N1139" s="11">
        <v>1546.4876543209878</v>
      </c>
      <c r="O1139" s="13">
        <v>2024</v>
      </c>
    </row>
    <row r="1140" spans="1:15" ht="14.5" customHeight="1" x14ac:dyDescent="0.35">
      <c r="A1140" s="20" t="s">
        <v>2274</v>
      </c>
      <c r="B1140" s="2" t="s">
        <v>2275</v>
      </c>
      <c r="C1140" s="17" t="s">
        <v>3109</v>
      </c>
      <c r="D1140" s="2" t="s">
        <v>30</v>
      </c>
      <c r="E1140" s="15" t="s">
        <v>273</v>
      </c>
      <c r="F1140" t="s">
        <v>208</v>
      </c>
      <c r="G1140" s="2" t="str">
        <f t="shared" si="18"/>
        <v>Medium</v>
      </c>
      <c r="H1140" s="3">
        <v>2645</v>
      </c>
      <c r="I1140" s="4">
        <v>0.6</v>
      </c>
      <c r="J1140" s="5">
        <v>354916.53345935728</v>
      </c>
      <c r="K1140" s="6">
        <v>2.2495770780712465E-3</v>
      </c>
      <c r="L1140" s="5">
        <v>834.2586011342155</v>
      </c>
      <c r="M1140" s="5">
        <v>217.39130434782609</v>
      </c>
      <c r="N1140" s="11">
        <v>1585.1436672967864</v>
      </c>
      <c r="O1140" s="13">
        <v>2024</v>
      </c>
    </row>
    <row r="1141" spans="1:15" ht="14.5" customHeight="1" x14ac:dyDescent="0.35">
      <c r="A1141" s="20" t="s">
        <v>2276</v>
      </c>
      <c r="B1141" s="2" t="s">
        <v>2277</v>
      </c>
      <c r="C1141" s="17" t="s">
        <v>3109</v>
      </c>
      <c r="D1141" s="2" t="s">
        <v>7</v>
      </c>
      <c r="E1141" s="15" t="s">
        <v>178</v>
      </c>
      <c r="F1141" t="s">
        <v>170</v>
      </c>
      <c r="G1141" s="2" t="str">
        <f t="shared" si="18"/>
        <v>Small</v>
      </c>
      <c r="H1141" s="3">
        <v>558</v>
      </c>
      <c r="I1141" s="4">
        <v>1</v>
      </c>
      <c r="J1141" s="5">
        <v>56508.833333333336</v>
      </c>
      <c r="K1141" s="6">
        <v>4.6936551201799291E-3</v>
      </c>
      <c r="L1141" s="5">
        <v>480.53763440860217</v>
      </c>
      <c r="M1141" s="5">
        <v>3945.9677419354839</v>
      </c>
      <c r="N1141" s="11">
        <v>1755.1003584229391</v>
      </c>
      <c r="O1141" s="13">
        <v>2024</v>
      </c>
    </row>
    <row r="1142" spans="1:15" ht="14.5" customHeight="1" x14ac:dyDescent="0.35">
      <c r="A1142" s="20" t="s">
        <v>2278</v>
      </c>
      <c r="B1142" s="2" t="s">
        <v>2279</v>
      </c>
      <c r="C1142" s="17" t="s">
        <v>3109</v>
      </c>
      <c r="D1142" s="2" t="s">
        <v>89</v>
      </c>
      <c r="E1142" s="15" t="s">
        <v>183</v>
      </c>
      <c r="F1142" t="s">
        <v>170</v>
      </c>
      <c r="G1142" s="2" t="str">
        <f t="shared" si="18"/>
        <v>Small</v>
      </c>
      <c r="H1142" s="3">
        <v>921</v>
      </c>
      <c r="I1142" s="4">
        <v>1.1000000000000001</v>
      </c>
      <c r="J1142" s="5">
        <v>79704.345276872962</v>
      </c>
      <c r="K1142" s="6">
        <v>2.8729955339018786E-3</v>
      </c>
      <c r="L1142" s="5">
        <v>434.12408251900109</v>
      </c>
      <c r="M1142" s="5">
        <v>685.92585233441912</v>
      </c>
      <c r="N1142" s="11">
        <v>1057.8916395222584</v>
      </c>
      <c r="O1142" s="13">
        <v>2024</v>
      </c>
    </row>
    <row r="1143" spans="1:15" ht="14.5" customHeight="1" x14ac:dyDescent="0.35">
      <c r="A1143" s="20" t="s">
        <v>2280</v>
      </c>
      <c r="B1143" s="2" t="s">
        <v>2281</v>
      </c>
      <c r="C1143" s="17" t="s">
        <v>3109</v>
      </c>
      <c r="D1143" s="2" t="s">
        <v>43</v>
      </c>
      <c r="E1143" s="15" t="s">
        <v>207</v>
      </c>
      <c r="F1143" t="s">
        <v>208</v>
      </c>
      <c r="G1143" s="2" t="str">
        <f t="shared" si="18"/>
        <v>Medium</v>
      </c>
      <c r="H1143" s="3">
        <v>4167</v>
      </c>
      <c r="I1143" s="4">
        <v>8.6999999999999993</v>
      </c>
      <c r="J1143" s="5">
        <v>43817.176385889128</v>
      </c>
      <c r="K1143" s="6" t="s">
        <v>27</v>
      </c>
      <c r="L1143" s="5">
        <v>0</v>
      </c>
      <c r="M1143" s="5">
        <v>0</v>
      </c>
      <c r="N1143" s="11">
        <v>0</v>
      </c>
      <c r="O1143" s="13">
        <v>2024</v>
      </c>
    </row>
    <row r="1144" spans="1:15" ht="14.5" customHeight="1" x14ac:dyDescent="0.35">
      <c r="A1144" s="20" t="s">
        <v>2282</v>
      </c>
      <c r="B1144" s="2" t="s">
        <v>2283</v>
      </c>
      <c r="C1144" s="17" t="s">
        <v>3109</v>
      </c>
      <c r="D1144" s="2" t="s">
        <v>65</v>
      </c>
      <c r="E1144" s="15" t="s">
        <v>186</v>
      </c>
      <c r="F1144" t="s">
        <v>170</v>
      </c>
      <c r="G1144" s="2" t="str">
        <f t="shared" si="18"/>
        <v>Small</v>
      </c>
      <c r="H1144" s="3">
        <v>256</v>
      </c>
      <c r="I1144" s="4">
        <v>0.8</v>
      </c>
      <c r="J1144" s="5">
        <v>657278.3203125</v>
      </c>
      <c r="K1144" s="6">
        <v>1.9295716682044355E-3</v>
      </c>
      <c r="L1144" s="5">
        <v>3553.0625</v>
      </c>
      <c r="M1144" s="5">
        <v>12599.9453125</v>
      </c>
      <c r="N1144" s="11">
        <v>12660.9765625</v>
      </c>
      <c r="O1144" s="13">
        <v>2024</v>
      </c>
    </row>
    <row r="1145" spans="1:15" ht="14.5" customHeight="1" x14ac:dyDescent="0.35">
      <c r="A1145" s="20" t="s">
        <v>2284</v>
      </c>
      <c r="B1145" s="2" t="s">
        <v>2285</v>
      </c>
      <c r="C1145" s="17" t="s">
        <v>3109</v>
      </c>
      <c r="D1145" s="2" t="s">
        <v>94</v>
      </c>
      <c r="E1145" s="15" t="s">
        <v>169</v>
      </c>
      <c r="F1145" t="s">
        <v>170</v>
      </c>
      <c r="G1145" s="2" t="str">
        <f t="shared" si="18"/>
        <v>Small</v>
      </c>
      <c r="H1145" s="3">
        <v>186</v>
      </c>
      <c r="I1145" s="4">
        <v>1</v>
      </c>
      <c r="J1145" s="5">
        <v>66521.989247311823</v>
      </c>
      <c r="K1145" s="6">
        <v>1.5710707672861024E-3</v>
      </c>
      <c r="L1145" s="5">
        <v>363.98387096774195</v>
      </c>
      <c r="M1145" s="5">
        <v>5516.1290322580644</v>
      </c>
      <c r="N1145" s="11">
        <v>786.65053763440858</v>
      </c>
      <c r="O1145" s="13">
        <v>2024</v>
      </c>
    </row>
    <row r="1146" spans="1:15" ht="14.5" customHeight="1" x14ac:dyDescent="0.35">
      <c r="A1146" s="20" t="s">
        <v>2286</v>
      </c>
      <c r="B1146" s="2" t="s">
        <v>2287</v>
      </c>
      <c r="C1146" s="17" t="s">
        <v>3109</v>
      </c>
      <c r="D1146" s="2" t="s">
        <v>24</v>
      </c>
      <c r="E1146" s="15" t="s">
        <v>173</v>
      </c>
      <c r="F1146" t="s">
        <v>170</v>
      </c>
      <c r="G1146" s="2" t="str">
        <f t="shared" si="18"/>
        <v>Medium</v>
      </c>
      <c r="H1146" s="3">
        <v>3916</v>
      </c>
      <c r="I1146" s="4">
        <v>1.2</v>
      </c>
      <c r="J1146" s="5">
        <v>42738.169305413685</v>
      </c>
      <c r="K1146" s="6">
        <v>1.2296362072280742E-2</v>
      </c>
      <c r="L1146" s="5">
        <v>676.63891726251279</v>
      </c>
      <c r="M1146" s="5">
        <v>72.778345250255356</v>
      </c>
      <c r="N1146" s="11">
        <v>1002.0858018386108</v>
      </c>
      <c r="O1146" s="13">
        <v>2024</v>
      </c>
    </row>
    <row r="1147" spans="1:15" ht="14.5" customHeight="1" x14ac:dyDescent="0.35">
      <c r="A1147" s="20" t="s">
        <v>2288</v>
      </c>
      <c r="B1147" s="2" t="s">
        <v>2289</v>
      </c>
      <c r="C1147" s="17" t="s">
        <v>3109</v>
      </c>
      <c r="D1147" s="2" t="s">
        <v>55</v>
      </c>
      <c r="E1147" s="15" t="s">
        <v>207</v>
      </c>
      <c r="F1147" t="s">
        <v>208</v>
      </c>
      <c r="G1147" s="2" t="str">
        <f t="shared" si="18"/>
        <v>Medium</v>
      </c>
      <c r="H1147" s="3">
        <v>5239</v>
      </c>
      <c r="I1147" s="4">
        <v>1</v>
      </c>
      <c r="J1147" s="5">
        <v>220162.98969268944</v>
      </c>
      <c r="K1147" s="6" t="s">
        <v>27</v>
      </c>
      <c r="L1147" s="5">
        <v>0</v>
      </c>
      <c r="M1147" s="5">
        <v>0</v>
      </c>
      <c r="N1147" s="11">
        <v>0</v>
      </c>
      <c r="O1147" s="13">
        <v>2024</v>
      </c>
    </row>
    <row r="1148" spans="1:15" ht="14.5" customHeight="1" x14ac:dyDescent="0.35">
      <c r="A1148" s="20" t="s">
        <v>2290</v>
      </c>
      <c r="B1148" s="2" t="s">
        <v>2291</v>
      </c>
      <c r="C1148" s="17" t="s">
        <v>3109</v>
      </c>
      <c r="D1148" s="2" t="s">
        <v>11</v>
      </c>
      <c r="E1148" s="15" t="s">
        <v>173</v>
      </c>
      <c r="F1148" t="s">
        <v>170</v>
      </c>
      <c r="G1148" s="2" t="str">
        <f t="shared" si="18"/>
        <v>Large</v>
      </c>
      <c r="H1148" s="3">
        <v>13667</v>
      </c>
      <c r="I1148" s="4">
        <v>3.2</v>
      </c>
      <c r="J1148" s="5">
        <v>39694.011926538376</v>
      </c>
      <c r="K1148" s="6">
        <v>1.6089263036094061E-2</v>
      </c>
      <c r="L1148" s="5">
        <v>1018.6975927416404</v>
      </c>
      <c r="M1148" s="5">
        <v>2331.6316675203043</v>
      </c>
      <c r="N1148" s="11">
        <v>2542.906124240872</v>
      </c>
      <c r="O1148" s="13">
        <v>2024</v>
      </c>
    </row>
    <row r="1149" spans="1:15" ht="14.5" customHeight="1" x14ac:dyDescent="0.35">
      <c r="A1149" s="20" t="s">
        <v>2292</v>
      </c>
      <c r="B1149" s="2" t="s">
        <v>2293</v>
      </c>
      <c r="C1149" s="17" t="s">
        <v>3109</v>
      </c>
      <c r="D1149" s="2" t="s">
        <v>338</v>
      </c>
      <c r="E1149" s="15" t="s">
        <v>214</v>
      </c>
      <c r="F1149" t="s">
        <v>170</v>
      </c>
      <c r="G1149" s="2" t="str">
        <f t="shared" si="18"/>
        <v>Small</v>
      </c>
      <c r="H1149" s="3">
        <v>346</v>
      </c>
      <c r="I1149" s="4">
        <v>0.5</v>
      </c>
      <c r="J1149" s="5">
        <v>61817.783236994219</v>
      </c>
      <c r="K1149" s="6">
        <v>4.665024978080975E-3</v>
      </c>
      <c r="L1149" s="5">
        <v>357.51904624277455</v>
      </c>
      <c r="M1149" s="5">
        <v>0</v>
      </c>
      <c r="N1149" s="11">
        <v>995.70026011560685</v>
      </c>
      <c r="O1149" s="13">
        <v>2024</v>
      </c>
    </row>
    <row r="1150" spans="1:15" ht="14.5" customHeight="1" x14ac:dyDescent="0.35">
      <c r="A1150" s="20" t="s">
        <v>2294</v>
      </c>
      <c r="B1150" s="2" t="s">
        <v>2295</v>
      </c>
      <c r="C1150" s="17" t="s">
        <v>3109</v>
      </c>
      <c r="D1150" s="2" t="s">
        <v>94</v>
      </c>
      <c r="E1150" s="15" t="s">
        <v>169</v>
      </c>
      <c r="F1150" t="s">
        <v>170</v>
      </c>
      <c r="G1150" s="2" t="str">
        <f t="shared" si="18"/>
        <v>Small</v>
      </c>
      <c r="H1150" s="3">
        <v>678</v>
      </c>
      <c r="I1150" s="4">
        <v>0.8</v>
      </c>
      <c r="J1150" s="5">
        <v>51719.321533923307</v>
      </c>
      <c r="K1150" s="6">
        <v>5.1823990395172487E-3</v>
      </c>
      <c r="L1150" s="5">
        <v>464.05848082595872</v>
      </c>
      <c r="M1150" s="5">
        <v>715.921622418879</v>
      </c>
      <c r="N1150" s="11">
        <v>1234.7842182890854</v>
      </c>
      <c r="O1150" s="13">
        <v>2024</v>
      </c>
    </row>
    <row r="1151" spans="1:15" ht="14.5" customHeight="1" x14ac:dyDescent="0.35">
      <c r="A1151" s="20" t="s">
        <v>2296</v>
      </c>
      <c r="B1151" s="2" t="s">
        <v>2297</v>
      </c>
      <c r="C1151" s="17" t="s">
        <v>3109</v>
      </c>
      <c r="D1151" s="2" t="s">
        <v>89</v>
      </c>
      <c r="E1151" s="15" t="s">
        <v>183</v>
      </c>
      <c r="F1151" t="s">
        <v>170</v>
      </c>
      <c r="G1151" s="2" t="str">
        <f t="shared" si="18"/>
        <v>Small</v>
      </c>
      <c r="H1151" s="3">
        <v>309</v>
      </c>
      <c r="I1151" s="4">
        <v>0.4</v>
      </c>
      <c r="J1151" s="5">
        <v>57151.941747572819</v>
      </c>
      <c r="K1151" s="6">
        <v>1.5579540145923402E-3</v>
      </c>
      <c r="L1151" s="5">
        <v>95.862944983818778</v>
      </c>
      <c r="M1151" s="5">
        <v>0</v>
      </c>
      <c r="N1151" s="11">
        <v>593.54249190938515</v>
      </c>
      <c r="O1151" s="13">
        <v>2024</v>
      </c>
    </row>
    <row r="1152" spans="1:15" ht="14.5" customHeight="1" x14ac:dyDescent="0.35">
      <c r="A1152" s="20" t="s">
        <v>2298</v>
      </c>
      <c r="B1152" s="2" t="s">
        <v>2299</v>
      </c>
      <c r="C1152" s="17" t="s">
        <v>3109</v>
      </c>
      <c r="D1152" s="2" t="s">
        <v>5</v>
      </c>
      <c r="E1152" s="15" t="s">
        <v>183</v>
      </c>
      <c r="F1152" t="s">
        <v>170</v>
      </c>
      <c r="G1152" s="2" t="str">
        <f t="shared" si="18"/>
        <v>Small</v>
      </c>
      <c r="H1152" s="3">
        <v>760</v>
      </c>
      <c r="I1152" s="4">
        <v>1.8</v>
      </c>
      <c r="J1152" s="5">
        <v>172557.90921052633</v>
      </c>
      <c r="K1152" s="6">
        <v>2.9757666936082961E-3</v>
      </c>
      <c r="L1152" s="5">
        <v>1207.3579868421052</v>
      </c>
      <c r="M1152" s="5">
        <v>563.15789473684208</v>
      </c>
      <c r="N1152" s="11">
        <v>3345.0724342105259</v>
      </c>
      <c r="O1152" s="13">
        <v>2024</v>
      </c>
    </row>
    <row r="1153" spans="1:15" ht="14.5" customHeight="1" x14ac:dyDescent="0.35">
      <c r="A1153" s="20" t="s">
        <v>2300</v>
      </c>
      <c r="B1153" s="2" t="s">
        <v>2301</v>
      </c>
      <c r="C1153" s="17" t="s">
        <v>3109</v>
      </c>
      <c r="D1153" s="2" t="s">
        <v>79</v>
      </c>
      <c r="E1153" s="15" t="s">
        <v>178</v>
      </c>
      <c r="F1153" t="s">
        <v>170</v>
      </c>
      <c r="G1153" s="2" t="str">
        <f t="shared" si="18"/>
        <v>Medium</v>
      </c>
      <c r="H1153" s="3">
        <v>5501</v>
      </c>
      <c r="I1153" s="4">
        <v>1.6</v>
      </c>
      <c r="J1153" s="5">
        <v>96653.598073077621</v>
      </c>
      <c r="K1153" s="6">
        <v>5.8182890673303539E-3</v>
      </c>
      <c r="L1153" s="5">
        <v>989.02809307398661</v>
      </c>
      <c r="M1153" s="5">
        <v>1431.7207289583712</v>
      </c>
      <c r="N1153" s="11">
        <v>5972.7235611706956</v>
      </c>
      <c r="O1153" s="13">
        <v>2024</v>
      </c>
    </row>
    <row r="1154" spans="1:15" ht="14.5" customHeight="1" x14ac:dyDescent="0.35">
      <c r="A1154" s="20" t="s">
        <v>2302</v>
      </c>
      <c r="B1154" s="2" t="s">
        <v>2303</v>
      </c>
      <c r="C1154" s="17" t="s">
        <v>3109</v>
      </c>
      <c r="D1154" s="2" t="s">
        <v>22</v>
      </c>
      <c r="E1154" s="15" t="s">
        <v>186</v>
      </c>
      <c r="F1154" t="s">
        <v>170</v>
      </c>
      <c r="G1154" s="2" t="str">
        <f t="shared" si="18"/>
        <v>Medium</v>
      </c>
      <c r="H1154" s="3">
        <v>2269</v>
      </c>
      <c r="I1154" s="4">
        <v>1.1000000000000001</v>
      </c>
      <c r="J1154" s="5">
        <v>49626.380784486559</v>
      </c>
      <c r="K1154" s="6">
        <v>7.874930891705564E-3</v>
      </c>
      <c r="L1154" s="5">
        <v>601.82238871749666</v>
      </c>
      <c r="M1154" s="5">
        <v>0</v>
      </c>
      <c r="N1154" s="11">
        <v>806.77223446452183</v>
      </c>
      <c r="O1154" s="13">
        <v>2024</v>
      </c>
    </row>
    <row r="1155" spans="1:15" ht="14.5" customHeight="1" x14ac:dyDescent="0.35">
      <c r="A1155" s="20" t="s">
        <v>2304</v>
      </c>
      <c r="B1155" s="2" t="s">
        <v>2305</v>
      </c>
      <c r="C1155" s="17" t="s">
        <v>3109</v>
      </c>
      <c r="D1155" s="2" t="s">
        <v>30</v>
      </c>
      <c r="E1155" s="15" t="s">
        <v>273</v>
      </c>
      <c r="F1155" t="s">
        <v>208</v>
      </c>
      <c r="G1155" s="2" t="str">
        <f t="shared" si="18"/>
        <v>Medium</v>
      </c>
      <c r="H1155" s="3">
        <v>8466</v>
      </c>
      <c r="I1155" s="4">
        <v>1.1000000000000001</v>
      </c>
      <c r="J1155" s="5">
        <v>164842.81384360974</v>
      </c>
      <c r="K1155" s="6">
        <v>3.0351939292994354E-3</v>
      </c>
      <c r="L1155" s="5">
        <v>575.70765414599578</v>
      </c>
      <c r="M1155" s="5">
        <v>4031.963619182613</v>
      </c>
      <c r="N1155" s="11">
        <v>2899.462437987243</v>
      </c>
      <c r="O1155" s="13">
        <v>2024</v>
      </c>
    </row>
    <row r="1156" spans="1:15" ht="14.5" customHeight="1" x14ac:dyDescent="0.35">
      <c r="A1156" s="20" t="s">
        <v>2306</v>
      </c>
      <c r="B1156" s="2" t="s">
        <v>2307</v>
      </c>
      <c r="C1156" s="17" t="s">
        <v>3109</v>
      </c>
      <c r="D1156" s="2" t="s">
        <v>13</v>
      </c>
      <c r="E1156" s="15" t="s">
        <v>186</v>
      </c>
      <c r="F1156" t="s">
        <v>170</v>
      </c>
      <c r="G1156" s="2" t="str">
        <f t="shared" si="18"/>
        <v>Small</v>
      </c>
      <c r="H1156" s="3">
        <v>381</v>
      </c>
      <c r="I1156" s="4">
        <v>1.2</v>
      </c>
      <c r="J1156" s="5">
        <v>50775.939632545931</v>
      </c>
      <c r="K1156" s="6">
        <v>6.3944663893913426E-3</v>
      </c>
      <c r="L1156" s="5">
        <v>481.07291338582684</v>
      </c>
      <c r="M1156" s="5">
        <v>259.31758530183725</v>
      </c>
      <c r="N1156" s="11">
        <v>1362.684094488189</v>
      </c>
      <c r="O1156" s="13">
        <v>2024</v>
      </c>
    </row>
    <row r="1157" spans="1:15" ht="14.5" customHeight="1" x14ac:dyDescent="0.35">
      <c r="A1157" s="20" t="s">
        <v>2308</v>
      </c>
      <c r="B1157" s="2" t="s">
        <v>2309</v>
      </c>
      <c r="C1157" s="17" t="s">
        <v>3109</v>
      </c>
      <c r="D1157" s="2" t="s">
        <v>89</v>
      </c>
      <c r="E1157" s="15" t="s">
        <v>183</v>
      </c>
      <c r="F1157" t="s">
        <v>170</v>
      </c>
      <c r="G1157" s="2" t="str">
        <f t="shared" si="18"/>
        <v>Medium</v>
      </c>
      <c r="H1157" s="3">
        <v>4225</v>
      </c>
      <c r="I1157" s="4">
        <v>1.8</v>
      </c>
      <c r="J1157" s="5">
        <v>92842.002366863904</v>
      </c>
      <c r="K1157" s="6">
        <v>7.1000000866777652E-3</v>
      </c>
      <c r="L1157" s="5">
        <v>696.98913846153846</v>
      </c>
      <c r="M1157" s="5">
        <v>810.6403905325443</v>
      </c>
      <c r="N1157" s="11">
        <v>1860.9878366863907</v>
      </c>
      <c r="O1157" s="13">
        <v>2024</v>
      </c>
    </row>
    <row r="1158" spans="1:15" ht="14.5" customHeight="1" x14ac:dyDescent="0.35">
      <c r="A1158" s="20" t="s">
        <v>2310</v>
      </c>
      <c r="B1158" s="2" t="s">
        <v>2311</v>
      </c>
      <c r="C1158" s="17" t="s">
        <v>3109</v>
      </c>
      <c r="D1158" s="2" t="s">
        <v>9</v>
      </c>
      <c r="E1158" s="15" t="s">
        <v>207</v>
      </c>
      <c r="F1158" t="s">
        <v>208</v>
      </c>
      <c r="G1158" s="2" t="str">
        <f t="shared" si="18"/>
        <v>Medium</v>
      </c>
      <c r="H1158" s="3">
        <v>2166</v>
      </c>
      <c r="I1158" s="4">
        <v>0.8</v>
      </c>
      <c r="J1158" s="5">
        <v>176586.8217913204</v>
      </c>
      <c r="K1158" s="6">
        <v>4.9844353425648998E-3</v>
      </c>
      <c r="L1158" s="5">
        <v>1098.0697137580794</v>
      </c>
      <c r="M1158" s="5">
        <v>9848.1514312096024</v>
      </c>
      <c r="N1158" s="11">
        <v>4234.8504155124656</v>
      </c>
      <c r="O1158" s="13">
        <v>2024</v>
      </c>
    </row>
    <row r="1159" spans="1:15" ht="14.5" customHeight="1" x14ac:dyDescent="0.35">
      <c r="A1159" s="20" t="s">
        <v>2312</v>
      </c>
      <c r="B1159" s="2" t="s">
        <v>2313</v>
      </c>
      <c r="C1159" s="17" t="s">
        <v>3109</v>
      </c>
      <c r="D1159" s="2" t="s">
        <v>220</v>
      </c>
      <c r="E1159" s="15" t="s">
        <v>173</v>
      </c>
      <c r="F1159" t="s">
        <v>170</v>
      </c>
      <c r="G1159" s="2" t="str">
        <f t="shared" si="18"/>
        <v>Small</v>
      </c>
      <c r="H1159" s="3">
        <v>210</v>
      </c>
      <c r="I1159" s="4">
        <v>0.7</v>
      </c>
      <c r="J1159" s="5">
        <v>221908.66190476192</v>
      </c>
      <c r="K1159" s="6" t="s">
        <v>27</v>
      </c>
      <c r="L1159" s="5">
        <v>0</v>
      </c>
      <c r="M1159" s="5">
        <v>0</v>
      </c>
      <c r="N1159" s="11">
        <v>0</v>
      </c>
      <c r="O1159" s="13">
        <v>2024</v>
      </c>
    </row>
    <row r="1160" spans="1:15" ht="14.5" customHeight="1" x14ac:dyDescent="0.35">
      <c r="A1160" s="20" t="s">
        <v>2314</v>
      </c>
      <c r="B1160" s="2" t="s">
        <v>2315</v>
      </c>
      <c r="C1160" s="17" t="s">
        <v>3109</v>
      </c>
      <c r="D1160" s="2" t="s">
        <v>30</v>
      </c>
      <c r="E1160" s="15" t="s">
        <v>273</v>
      </c>
      <c r="F1160" t="s">
        <v>208</v>
      </c>
      <c r="G1160" s="2" t="str">
        <f t="shared" si="18"/>
        <v>Large</v>
      </c>
      <c r="H1160" s="3">
        <v>16172</v>
      </c>
      <c r="I1160" s="4">
        <v>1.4</v>
      </c>
      <c r="J1160" s="5">
        <v>225326.2869156567</v>
      </c>
      <c r="K1160" s="6">
        <v>7.6214806501211244E-3</v>
      </c>
      <c r="L1160" s="5">
        <v>1754.8706406134058</v>
      </c>
      <c r="M1160" s="5">
        <v>1088.2320677714567</v>
      </c>
      <c r="N1160" s="11">
        <v>2298.5740786544643</v>
      </c>
      <c r="O1160" s="13">
        <v>2024</v>
      </c>
    </row>
    <row r="1161" spans="1:15" ht="14.5" customHeight="1" x14ac:dyDescent="0.35">
      <c r="A1161" s="20" t="s">
        <v>2316</v>
      </c>
      <c r="B1161" s="2" t="s">
        <v>2317</v>
      </c>
      <c r="C1161" s="17" t="s">
        <v>3109</v>
      </c>
      <c r="D1161" s="2" t="s">
        <v>53</v>
      </c>
      <c r="E1161" s="15" t="s">
        <v>207</v>
      </c>
      <c r="F1161" t="s">
        <v>208</v>
      </c>
      <c r="G1161" s="2" t="str">
        <f t="shared" si="18"/>
        <v>Medium</v>
      </c>
      <c r="H1161" s="3">
        <v>2888</v>
      </c>
      <c r="I1161" s="4">
        <v>2.2999999999999998</v>
      </c>
      <c r="J1161" s="5">
        <v>135648.4265927978</v>
      </c>
      <c r="K1161" s="6">
        <v>4.1220586900117913E-3</v>
      </c>
      <c r="L1161" s="5">
        <v>800.68721606648194</v>
      </c>
      <c r="M1161" s="5">
        <v>252.77008310249306</v>
      </c>
      <c r="N1161" s="11">
        <v>2051.6031959833795</v>
      </c>
      <c r="O1161" s="13">
        <v>2024</v>
      </c>
    </row>
    <row r="1162" spans="1:15" ht="14.5" customHeight="1" x14ac:dyDescent="0.35">
      <c r="A1162" s="20" t="s">
        <v>2318</v>
      </c>
      <c r="B1162" s="2" t="s">
        <v>2319</v>
      </c>
      <c r="C1162" s="17" t="s">
        <v>3109</v>
      </c>
      <c r="D1162" s="2" t="s">
        <v>30</v>
      </c>
      <c r="E1162" s="15" t="s">
        <v>273</v>
      </c>
      <c r="F1162" t="s">
        <v>208</v>
      </c>
      <c r="G1162" s="2" t="str">
        <f t="shared" si="18"/>
        <v>Medium</v>
      </c>
      <c r="H1162" s="3">
        <v>4794</v>
      </c>
      <c r="I1162" s="4">
        <v>1.6</v>
      </c>
      <c r="J1162" s="5">
        <v>356558.47580308717</v>
      </c>
      <c r="K1162" s="6">
        <v>1.1626226790597358E-3</v>
      </c>
      <c r="L1162" s="5">
        <v>473.91259908218609</v>
      </c>
      <c r="M1162" s="5">
        <v>0</v>
      </c>
      <c r="N1162" s="11">
        <v>795.97017104714223</v>
      </c>
      <c r="O1162" s="13">
        <v>2024</v>
      </c>
    </row>
    <row r="1163" spans="1:15" ht="14.5" customHeight="1" x14ac:dyDescent="0.35">
      <c r="A1163" s="20" t="s">
        <v>2320</v>
      </c>
      <c r="B1163" s="2" t="s">
        <v>2321</v>
      </c>
      <c r="C1163" s="17" t="s">
        <v>3109</v>
      </c>
      <c r="D1163" s="2" t="s">
        <v>3</v>
      </c>
      <c r="E1163" s="15" t="s">
        <v>214</v>
      </c>
      <c r="F1163" t="s">
        <v>170</v>
      </c>
      <c r="G1163" s="2" t="str">
        <f t="shared" si="18"/>
        <v>Small</v>
      </c>
      <c r="H1163" s="3">
        <v>668</v>
      </c>
      <c r="I1163" s="4">
        <v>0.5</v>
      </c>
      <c r="J1163" s="5">
        <v>46705.872754491014</v>
      </c>
      <c r="K1163" s="6">
        <v>7.5510769828115651E-3</v>
      </c>
      <c r="L1163" s="5">
        <v>636.66766467065872</v>
      </c>
      <c r="M1163" s="5">
        <v>3219.1107784431138</v>
      </c>
      <c r="N1163" s="11">
        <v>3267.6871257485031</v>
      </c>
      <c r="O1163" s="13">
        <v>2024</v>
      </c>
    </row>
    <row r="1164" spans="1:15" ht="14.5" customHeight="1" x14ac:dyDescent="0.35">
      <c r="A1164" s="20" t="s">
        <v>2322</v>
      </c>
      <c r="B1164" s="2" t="s">
        <v>2323</v>
      </c>
      <c r="C1164" s="17" t="s">
        <v>3109</v>
      </c>
      <c r="D1164" s="2" t="s">
        <v>237</v>
      </c>
      <c r="E1164" s="15" t="s">
        <v>217</v>
      </c>
      <c r="F1164" t="s">
        <v>170</v>
      </c>
      <c r="G1164" s="2" t="str">
        <f t="shared" si="18"/>
        <v>Small</v>
      </c>
      <c r="H1164" s="3">
        <v>460</v>
      </c>
      <c r="I1164" s="4">
        <v>0.3</v>
      </c>
      <c r="J1164" s="5">
        <v>64590.941304347827</v>
      </c>
      <c r="K1164" s="6">
        <v>2.3143304554787982E-3</v>
      </c>
      <c r="L1164" s="5">
        <v>175.34565217391304</v>
      </c>
      <c r="M1164" s="5">
        <v>0</v>
      </c>
      <c r="N1164" s="11">
        <v>675.01086956521738</v>
      </c>
      <c r="O1164" s="13">
        <v>2024</v>
      </c>
    </row>
    <row r="1165" spans="1:15" ht="14.5" customHeight="1" x14ac:dyDescent="0.35">
      <c r="A1165" s="20" t="s">
        <v>2324</v>
      </c>
      <c r="B1165" s="2" t="s">
        <v>2325</v>
      </c>
      <c r="C1165" s="17" t="s">
        <v>3109</v>
      </c>
      <c r="D1165" s="2" t="s">
        <v>237</v>
      </c>
      <c r="E1165" s="15" t="s">
        <v>217</v>
      </c>
      <c r="F1165" t="s">
        <v>170</v>
      </c>
      <c r="G1165" s="2" t="str">
        <f t="shared" si="18"/>
        <v>Medium</v>
      </c>
      <c r="H1165" s="3">
        <v>3108</v>
      </c>
      <c r="I1165" s="4">
        <v>1.8</v>
      </c>
      <c r="J1165" s="5">
        <v>63699.757722007722</v>
      </c>
      <c r="K1165" s="6">
        <v>8.9663338629303157E-3</v>
      </c>
      <c r="L1165" s="5">
        <v>633.16830437580438</v>
      </c>
      <c r="M1165" s="5">
        <v>22.522522522522522</v>
      </c>
      <c r="N1165" s="11">
        <v>828.02564671814673</v>
      </c>
      <c r="O1165" s="13">
        <v>2024</v>
      </c>
    </row>
    <row r="1166" spans="1:15" ht="14.5" customHeight="1" x14ac:dyDescent="0.35">
      <c r="A1166" s="20" t="s">
        <v>2326</v>
      </c>
      <c r="B1166" s="2" t="s">
        <v>2327</v>
      </c>
      <c r="C1166" s="17" t="s">
        <v>3109</v>
      </c>
      <c r="D1166" s="2" t="s">
        <v>3</v>
      </c>
      <c r="E1166" s="15" t="s">
        <v>214</v>
      </c>
      <c r="F1166" t="s">
        <v>170</v>
      </c>
      <c r="G1166" s="2" t="str">
        <f t="shared" si="18"/>
        <v>Small</v>
      </c>
      <c r="H1166" s="3">
        <v>0</v>
      </c>
      <c r="I1166" s="4">
        <v>0</v>
      </c>
      <c r="J1166" s="5" t="s">
        <v>27</v>
      </c>
      <c r="K1166" s="6" t="e">
        <v>#DIV/0!</v>
      </c>
      <c r="L1166" s="5" t="e">
        <v>#DIV/0!</v>
      </c>
      <c r="M1166" s="5" t="e">
        <v>#DIV/0!</v>
      </c>
      <c r="N1166" s="11" t="e">
        <v>#DIV/0!</v>
      </c>
      <c r="O1166" s="13">
        <v>2024</v>
      </c>
    </row>
    <row r="1167" spans="1:15" ht="14.5" customHeight="1" x14ac:dyDescent="0.35">
      <c r="A1167" s="20" t="s">
        <v>2328</v>
      </c>
      <c r="B1167" s="2" t="s">
        <v>2329</v>
      </c>
      <c r="C1167" s="17" t="s">
        <v>3109</v>
      </c>
      <c r="D1167" s="2" t="s">
        <v>3</v>
      </c>
      <c r="E1167" s="15" t="s">
        <v>214</v>
      </c>
      <c r="F1167" t="s">
        <v>170</v>
      </c>
      <c r="G1167" s="2" t="str">
        <f t="shared" si="18"/>
        <v>Medium</v>
      </c>
      <c r="H1167" s="3">
        <v>1930</v>
      </c>
      <c r="I1167" s="4">
        <v>1.4</v>
      </c>
      <c r="J1167" s="5">
        <v>34540.141968911914</v>
      </c>
      <c r="K1167" s="6" t="s">
        <v>27</v>
      </c>
      <c r="L1167" s="5">
        <v>0</v>
      </c>
      <c r="M1167" s="5">
        <v>0</v>
      </c>
      <c r="N1167" s="11">
        <v>0</v>
      </c>
      <c r="O1167" s="13">
        <v>2024</v>
      </c>
    </row>
    <row r="1168" spans="1:15" ht="14.5" customHeight="1" x14ac:dyDescent="0.35">
      <c r="A1168" s="20" t="s">
        <v>2330</v>
      </c>
      <c r="B1168" s="2" t="s">
        <v>2331</v>
      </c>
      <c r="C1168" s="17" t="s">
        <v>3109</v>
      </c>
      <c r="D1168" s="2" t="s">
        <v>46</v>
      </c>
      <c r="E1168" s="15" t="s">
        <v>214</v>
      </c>
      <c r="F1168" t="s">
        <v>170</v>
      </c>
      <c r="G1168" s="2" t="str">
        <f t="shared" si="18"/>
        <v>Medium</v>
      </c>
      <c r="H1168" s="3">
        <v>2320</v>
      </c>
      <c r="I1168" s="4">
        <v>1</v>
      </c>
      <c r="J1168" s="5">
        <v>44596.67974137931</v>
      </c>
      <c r="K1168" s="6">
        <v>1.2284401835736631E-2</v>
      </c>
      <c r="L1168" s="5">
        <v>673.76939655172418</v>
      </c>
      <c r="M1168" s="5">
        <v>5264.2211206896554</v>
      </c>
      <c r="N1168" s="11">
        <v>3461.8030172413792</v>
      </c>
      <c r="O1168" s="13">
        <v>2024</v>
      </c>
    </row>
    <row r="1169" spans="1:15" ht="14.5" customHeight="1" x14ac:dyDescent="0.35">
      <c r="A1169" s="20" t="s">
        <v>2332</v>
      </c>
      <c r="B1169" s="2" t="s">
        <v>2333</v>
      </c>
      <c r="C1169" s="17" t="s">
        <v>3109</v>
      </c>
      <c r="D1169" s="2" t="s">
        <v>220</v>
      </c>
      <c r="E1169" s="15" t="s">
        <v>173</v>
      </c>
      <c r="F1169" t="s">
        <v>170</v>
      </c>
      <c r="G1169" s="2" t="str">
        <f t="shared" si="18"/>
        <v>Small</v>
      </c>
      <c r="H1169" s="3">
        <v>258</v>
      </c>
      <c r="I1169" s="4">
        <v>0.3</v>
      </c>
      <c r="J1169" s="5">
        <v>86262.624031007756</v>
      </c>
      <c r="K1169" s="6">
        <v>4.6040334642402855E-3</v>
      </c>
      <c r="L1169" s="5">
        <v>420.99499999999995</v>
      </c>
      <c r="M1169" s="5">
        <v>684.15116279069764</v>
      </c>
      <c r="N1169" s="11">
        <v>3879.9142248062017</v>
      </c>
      <c r="O1169" s="13">
        <v>2024</v>
      </c>
    </row>
    <row r="1170" spans="1:15" ht="14.5" customHeight="1" x14ac:dyDescent="0.35">
      <c r="A1170" s="20" t="s">
        <v>2334</v>
      </c>
      <c r="B1170" s="2" t="s">
        <v>2335</v>
      </c>
      <c r="C1170" s="17" t="s">
        <v>3109</v>
      </c>
      <c r="D1170" s="2" t="s">
        <v>65</v>
      </c>
      <c r="E1170" s="15" t="s">
        <v>186</v>
      </c>
      <c r="F1170" t="s">
        <v>170</v>
      </c>
      <c r="G1170" s="2" t="str">
        <f t="shared" si="18"/>
        <v>Medium</v>
      </c>
      <c r="H1170" s="3">
        <v>1652</v>
      </c>
      <c r="I1170" s="4">
        <v>1.1000000000000001</v>
      </c>
      <c r="J1170" s="5">
        <v>36410.487288135591</v>
      </c>
      <c r="K1170" s="6">
        <v>8.0501277428766775E-3</v>
      </c>
      <c r="L1170" s="5">
        <v>423.76784503631961</v>
      </c>
      <c r="M1170" s="5">
        <v>1758.5466101694915</v>
      </c>
      <c r="N1170" s="11">
        <v>4872.6342433414038</v>
      </c>
      <c r="O1170" s="13">
        <v>2024</v>
      </c>
    </row>
    <row r="1171" spans="1:15" ht="14.5" customHeight="1" x14ac:dyDescent="0.35">
      <c r="A1171" s="20" t="s">
        <v>2336</v>
      </c>
      <c r="B1171" s="2" t="s">
        <v>2337</v>
      </c>
      <c r="C1171" s="17" t="s">
        <v>3109</v>
      </c>
      <c r="D1171" s="2" t="s">
        <v>22</v>
      </c>
      <c r="E1171" s="15" t="s">
        <v>186</v>
      </c>
      <c r="F1171" t="s">
        <v>170</v>
      </c>
      <c r="G1171" s="2" t="str">
        <f t="shared" si="18"/>
        <v>Medium</v>
      </c>
      <c r="H1171" s="3">
        <v>9585</v>
      </c>
      <c r="I1171" s="4">
        <v>5.2</v>
      </c>
      <c r="J1171" s="5">
        <v>55844.659363588944</v>
      </c>
      <c r="K1171" s="6">
        <v>5.547593026979639E-3</v>
      </c>
      <c r="L1171" s="5">
        <v>553.66124152321333</v>
      </c>
      <c r="M1171" s="5">
        <v>1040.5010954616589</v>
      </c>
      <c r="N1171" s="11">
        <v>1720.3701617110069</v>
      </c>
      <c r="O1171" s="13">
        <v>2024</v>
      </c>
    </row>
    <row r="1172" spans="1:15" ht="14.5" customHeight="1" x14ac:dyDescent="0.35">
      <c r="A1172" s="20" t="s">
        <v>2338</v>
      </c>
      <c r="B1172" s="2" t="s">
        <v>2339</v>
      </c>
      <c r="C1172" s="17" t="s">
        <v>3109</v>
      </c>
      <c r="D1172" s="2" t="s">
        <v>30</v>
      </c>
      <c r="E1172" s="15" t="s">
        <v>273</v>
      </c>
      <c r="F1172" t="s">
        <v>208</v>
      </c>
      <c r="G1172" s="2" t="str">
        <f t="shared" si="18"/>
        <v>Large</v>
      </c>
      <c r="H1172" s="3">
        <v>44472</v>
      </c>
      <c r="I1172" s="4">
        <v>4.5999999999999996</v>
      </c>
      <c r="J1172" s="5">
        <v>121711.2911045152</v>
      </c>
      <c r="K1172" s="6">
        <v>8.0312013055141157E-3</v>
      </c>
      <c r="L1172" s="5">
        <v>1014.7162259399173</v>
      </c>
      <c r="M1172" s="5">
        <v>1673.3823979132937</v>
      </c>
      <c r="N1172" s="11">
        <v>2908.6721532649758</v>
      </c>
      <c r="O1172" s="13">
        <v>2024</v>
      </c>
    </row>
    <row r="1173" spans="1:15" ht="14.5" customHeight="1" x14ac:dyDescent="0.35">
      <c r="A1173" s="20" t="s">
        <v>2340</v>
      </c>
      <c r="B1173" s="2" t="s">
        <v>2341</v>
      </c>
      <c r="C1173" s="17" t="s">
        <v>3109</v>
      </c>
      <c r="D1173" s="2" t="s">
        <v>39</v>
      </c>
      <c r="E1173" s="15" t="s">
        <v>173</v>
      </c>
      <c r="F1173" t="s">
        <v>170</v>
      </c>
      <c r="G1173" s="2" t="str">
        <f t="shared" si="18"/>
        <v>Small</v>
      </c>
      <c r="H1173" s="3">
        <v>498</v>
      </c>
      <c r="I1173" s="4">
        <v>1.1000000000000001</v>
      </c>
      <c r="J1173" s="5">
        <v>61493.937751004014</v>
      </c>
      <c r="K1173" s="6">
        <v>4.1842378363544565E-3</v>
      </c>
      <c r="L1173" s="5">
        <v>562.8214658634538</v>
      </c>
      <c r="M1173" s="5">
        <v>0</v>
      </c>
      <c r="N1173" s="11">
        <v>1034.5648995983936</v>
      </c>
      <c r="O1173" s="13">
        <v>2024</v>
      </c>
    </row>
    <row r="1174" spans="1:15" ht="14.5" customHeight="1" x14ac:dyDescent="0.35">
      <c r="A1174" s="20" t="s">
        <v>2342</v>
      </c>
      <c r="B1174" s="2" t="s">
        <v>2343</v>
      </c>
      <c r="C1174" s="17" t="s">
        <v>3109</v>
      </c>
      <c r="D1174" s="2" t="s">
        <v>3</v>
      </c>
      <c r="E1174" s="15" t="s">
        <v>214</v>
      </c>
      <c r="F1174" t="s">
        <v>170</v>
      </c>
      <c r="G1174" s="2" t="str">
        <f t="shared" si="18"/>
        <v>Small</v>
      </c>
      <c r="H1174" s="3">
        <v>742</v>
      </c>
      <c r="I1174" s="4">
        <v>0.5</v>
      </c>
      <c r="J1174" s="5">
        <v>60291.626684636118</v>
      </c>
      <c r="K1174" s="6">
        <v>6.3267125259802498E-3</v>
      </c>
      <c r="L1174" s="5">
        <v>699.56530997304583</v>
      </c>
      <c r="M1174" s="5">
        <v>842.47304582210245</v>
      </c>
      <c r="N1174" s="11">
        <v>1826.3413881401618</v>
      </c>
      <c r="O1174" s="13">
        <v>2024</v>
      </c>
    </row>
    <row r="1175" spans="1:15" ht="14.5" customHeight="1" x14ac:dyDescent="0.35">
      <c r="A1175" s="20" t="s">
        <v>2344</v>
      </c>
      <c r="B1175" s="2" t="s">
        <v>2345</v>
      </c>
      <c r="C1175" s="17" t="s">
        <v>3109</v>
      </c>
      <c r="D1175" s="2" t="s">
        <v>231</v>
      </c>
      <c r="E1175" s="15" t="s">
        <v>178</v>
      </c>
      <c r="F1175" t="s">
        <v>170</v>
      </c>
      <c r="G1175" s="2" t="str">
        <f t="shared" si="18"/>
        <v>Small</v>
      </c>
      <c r="H1175" s="3">
        <v>211</v>
      </c>
      <c r="I1175" s="4">
        <v>0.9</v>
      </c>
      <c r="J1175" s="5">
        <v>42094.890995260663</v>
      </c>
      <c r="K1175" s="6">
        <v>4.7731349911090057E-3</v>
      </c>
      <c r="L1175" s="5">
        <v>226.83232227488151</v>
      </c>
      <c r="M1175" s="5">
        <v>0</v>
      </c>
      <c r="N1175" s="11">
        <v>496.86748815165873</v>
      </c>
      <c r="O1175" s="13">
        <v>2024</v>
      </c>
    </row>
    <row r="1176" spans="1:15" ht="14.5" customHeight="1" x14ac:dyDescent="0.35">
      <c r="A1176" s="20" t="s">
        <v>2346</v>
      </c>
      <c r="B1176" s="2" t="s">
        <v>2347</v>
      </c>
      <c r="C1176" s="17" t="s">
        <v>3109</v>
      </c>
      <c r="D1176" s="2" t="s">
        <v>51</v>
      </c>
      <c r="E1176" s="15" t="s">
        <v>217</v>
      </c>
      <c r="F1176" t="s">
        <v>170</v>
      </c>
      <c r="G1176" s="2" t="str">
        <f t="shared" si="18"/>
        <v>Small</v>
      </c>
      <c r="H1176" s="3">
        <v>165</v>
      </c>
      <c r="I1176" s="4">
        <v>0.3</v>
      </c>
      <c r="J1176" s="5">
        <v>89925.927272727276</v>
      </c>
      <c r="K1176" s="6">
        <v>0</v>
      </c>
      <c r="L1176" s="5">
        <v>323.89533333333333</v>
      </c>
      <c r="M1176" s="5">
        <v>0</v>
      </c>
      <c r="N1176" s="11">
        <v>293.24909090909091</v>
      </c>
      <c r="O1176" s="13">
        <v>2024</v>
      </c>
    </row>
    <row r="1177" spans="1:15" ht="14.5" customHeight="1" x14ac:dyDescent="0.35">
      <c r="A1177" s="20" t="s">
        <v>2348</v>
      </c>
      <c r="B1177" s="2" t="s">
        <v>2349</v>
      </c>
      <c r="C1177" s="17" t="s">
        <v>3109</v>
      </c>
      <c r="D1177" s="2" t="s">
        <v>30</v>
      </c>
      <c r="E1177" s="15" t="s">
        <v>273</v>
      </c>
      <c r="F1177" t="s">
        <v>208</v>
      </c>
      <c r="G1177" s="2" t="str">
        <f t="shared" si="18"/>
        <v>Large</v>
      </c>
      <c r="H1177" s="3">
        <v>23272</v>
      </c>
      <c r="I1177" s="4">
        <v>5.3</v>
      </c>
      <c r="J1177" s="5">
        <v>375440.06660364388</v>
      </c>
      <c r="K1177" s="6">
        <v>6.0968674113167417E-3</v>
      </c>
      <c r="L1177" s="5">
        <v>2386.3250103128221</v>
      </c>
      <c r="M1177" s="5">
        <v>3889.8116191130971</v>
      </c>
      <c r="N1177" s="11">
        <v>3780.0413316431764</v>
      </c>
      <c r="O1177" s="13">
        <v>2024</v>
      </c>
    </row>
    <row r="1178" spans="1:15" ht="14.5" customHeight="1" x14ac:dyDescent="0.35">
      <c r="A1178" s="20" t="s">
        <v>2350</v>
      </c>
      <c r="B1178" s="2" t="s">
        <v>2351</v>
      </c>
      <c r="C1178" s="17" t="s">
        <v>3109</v>
      </c>
      <c r="D1178" s="2" t="s">
        <v>269</v>
      </c>
      <c r="E1178" s="15" t="s">
        <v>178</v>
      </c>
      <c r="F1178" t="s">
        <v>170</v>
      </c>
      <c r="G1178" s="2" t="str">
        <f t="shared" si="18"/>
        <v>Medium</v>
      </c>
      <c r="H1178" s="3">
        <v>7574</v>
      </c>
      <c r="I1178" s="4">
        <v>2.8</v>
      </c>
      <c r="J1178" s="5">
        <v>40807.506337470295</v>
      </c>
      <c r="K1178" s="6">
        <v>6.3325773090547391E-3</v>
      </c>
      <c r="L1178" s="5">
        <v>297.09955109585422</v>
      </c>
      <c r="M1178" s="5">
        <v>91.325349881172428</v>
      </c>
      <c r="N1178" s="11">
        <v>733.71124900977031</v>
      </c>
      <c r="O1178" s="13">
        <v>2024</v>
      </c>
    </row>
    <row r="1179" spans="1:15" ht="14.5" customHeight="1" x14ac:dyDescent="0.35">
      <c r="A1179" s="20" t="s">
        <v>2352</v>
      </c>
      <c r="B1179" s="2" t="s">
        <v>2353</v>
      </c>
      <c r="C1179" s="17" t="s">
        <v>3109</v>
      </c>
      <c r="D1179" s="2" t="s">
        <v>69</v>
      </c>
      <c r="E1179" s="15" t="s">
        <v>173</v>
      </c>
      <c r="F1179" t="s">
        <v>170</v>
      </c>
      <c r="G1179" s="2" t="str">
        <f t="shared" si="18"/>
        <v>Small</v>
      </c>
      <c r="H1179" s="3">
        <v>308</v>
      </c>
      <c r="I1179" s="4">
        <v>1</v>
      </c>
      <c r="J1179" s="5">
        <v>81791.805194805202</v>
      </c>
      <c r="K1179" s="6">
        <v>4.873793440393244E-3</v>
      </c>
      <c r="L1179" s="5">
        <v>508.96753246753246</v>
      </c>
      <c r="M1179" s="5">
        <v>7486.7922077922076</v>
      </c>
      <c r="N1179" s="11">
        <v>1032.4253246753246</v>
      </c>
      <c r="O1179" s="13">
        <v>2024</v>
      </c>
    </row>
    <row r="1180" spans="1:15" ht="14.5" customHeight="1" x14ac:dyDescent="0.35">
      <c r="A1180" s="20" t="s">
        <v>2354</v>
      </c>
      <c r="B1180" s="2" t="s">
        <v>2355</v>
      </c>
      <c r="C1180" s="17" t="s">
        <v>3109</v>
      </c>
      <c r="D1180" s="2" t="s">
        <v>94</v>
      </c>
      <c r="E1180" s="15" t="s">
        <v>169</v>
      </c>
      <c r="F1180" t="s">
        <v>170</v>
      </c>
      <c r="G1180" s="2" t="str">
        <f t="shared" si="18"/>
        <v>Small</v>
      </c>
      <c r="H1180" s="3">
        <v>452</v>
      </c>
      <c r="I1180" s="4">
        <v>0.7</v>
      </c>
      <c r="J1180" s="5">
        <v>153322.01106194689</v>
      </c>
      <c r="K1180" s="6">
        <v>4.6029477638371398E-3</v>
      </c>
      <c r="L1180" s="5">
        <v>1296.4440486725664</v>
      </c>
      <c r="M1180" s="5">
        <v>996.9889380530974</v>
      </c>
      <c r="N1180" s="11">
        <v>1493.1340265486724</v>
      </c>
      <c r="O1180" s="13">
        <v>2024</v>
      </c>
    </row>
    <row r="1181" spans="1:15" ht="14.5" customHeight="1" x14ac:dyDescent="0.35">
      <c r="A1181" s="20" t="s">
        <v>2356</v>
      </c>
      <c r="B1181" s="2" t="s">
        <v>2357</v>
      </c>
      <c r="C1181" s="17" t="s">
        <v>3109</v>
      </c>
      <c r="D1181" s="2" t="s">
        <v>53</v>
      </c>
      <c r="E1181" s="15" t="s">
        <v>207</v>
      </c>
      <c r="F1181" t="s">
        <v>208</v>
      </c>
      <c r="G1181" s="2" t="str">
        <f t="shared" si="18"/>
        <v>Medium</v>
      </c>
      <c r="H1181" s="3">
        <v>5777</v>
      </c>
      <c r="I1181" s="4">
        <v>3.3</v>
      </c>
      <c r="J1181" s="5">
        <v>137984.12792106631</v>
      </c>
      <c r="K1181" s="6">
        <v>8.6101884334028531E-3</v>
      </c>
      <c r="L1181" s="5">
        <v>1469.4670884542152</v>
      </c>
      <c r="M1181" s="5">
        <v>3770.1229011597716</v>
      </c>
      <c r="N1181" s="11">
        <v>2510.9072979054872</v>
      </c>
      <c r="O1181" s="13">
        <v>2024</v>
      </c>
    </row>
    <row r="1182" spans="1:15" ht="14.5" customHeight="1" x14ac:dyDescent="0.35">
      <c r="A1182" s="20" t="s">
        <v>2358</v>
      </c>
      <c r="B1182" s="2" t="s">
        <v>2359</v>
      </c>
      <c r="C1182" s="17" t="s">
        <v>3109</v>
      </c>
      <c r="D1182" s="2" t="s">
        <v>63</v>
      </c>
      <c r="E1182" s="15" t="s">
        <v>169</v>
      </c>
      <c r="F1182" t="s">
        <v>170</v>
      </c>
      <c r="G1182" s="2" t="str">
        <f t="shared" si="18"/>
        <v>Medium</v>
      </c>
      <c r="H1182" s="3">
        <v>3526</v>
      </c>
      <c r="I1182" s="4">
        <v>2.2000000000000002</v>
      </c>
      <c r="J1182" s="5">
        <v>37484.032331253547</v>
      </c>
      <c r="K1182" s="6">
        <v>1.0319999974577942E-2</v>
      </c>
      <c r="L1182" s="5">
        <v>622.41300056721491</v>
      </c>
      <c r="M1182" s="5">
        <v>2875.7845348837209</v>
      </c>
      <c r="N1182" s="11">
        <v>1656.537356778219</v>
      </c>
      <c r="O1182" s="13">
        <v>2024</v>
      </c>
    </row>
    <row r="1183" spans="1:15" ht="14.5" customHeight="1" x14ac:dyDescent="0.35">
      <c r="A1183" s="20" t="s">
        <v>2360</v>
      </c>
      <c r="B1183" s="2" t="s">
        <v>2361</v>
      </c>
      <c r="C1183" s="17" t="s">
        <v>3109</v>
      </c>
      <c r="D1183" s="2" t="s">
        <v>65</v>
      </c>
      <c r="E1183" s="15" t="s">
        <v>186</v>
      </c>
      <c r="F1183" t="s">
        <v>170</v>
      </c>
      <c r="G1183" s="2" t="str">
        <f t="shared" si="18"/>
        <v>Medium</v>
      </c>
      <c r="H1183" s="3">
        <v>2513</v>
      </c>
      <c r="I1183" s="4">
        <v>1.6</v>
      </c>
      <c r="J1183" s="5">
        <v>47369.205730202943</v>
      </c>
      <c r="K1183" s="6">
        <v>9.2153723910589364E-3</v>
      </c>
      <c r="L1183" s="5">
        <v>615.80700358137688</v>
      </c>
      <c r="M1183" s="5">
        <v>1955.6740947075209</v>
      </c>
      <c r="N1183" s="11">
        <v>1749.7596498209311</v>
      </c>
      <c r="O1183" s="13">
        <v>2024</v>
      </c>
    </row>
    <row r="1184" spans="1:15" ht="14.5" customHeight="1" x14ac:dyDescent="0.35">
      <c r="A1184" s="20" t="s">
        <v>2362</v>
      </c>
      <c r="B1184" s="2" t="s">
        <v>2363</v>
      </c>
      <c r="C1184" s="17" t="s">
        <v>3109</v>
      </c>
      <c r="D1184" s="2" t="s">
        <v>513</v>
      </c>
      <c r="E1184" s="15" t="s">
        <v>207</v>
      </c>
      <c r="F1184" t="s">
        <v>208</v>
      </c>
      <c r="G1184" s="2" t="str">
        <f t="shared" si="18"/>
        <v>Small</v>
      </c>
      <c r="H1184" s="3">
        <v>246</v>
      </c>
      <c r="I1184" s="4">
        <v>0.2</v>
      </c>
      <c r="J1184" s="5">
        <v>566235.56504065043</v>
      </c>
      <c r="K1184" s="6">
        <v>5.4028980110255899E-3</v>
      </c>
      <c r="L1184" s="5">
        <v>3223.1422764227641</v>
      </c>
      <c r="M1184" s="5">
        <v>813.00813008130081</v>
      </c>
      <c r="N1184" s="11">
        <v>3500.0040650406504</v>
      </c>
      <c r="O1184" s="13">
        <v>2024</v>
      </c>
    </row>
    <row r="1185" spans="1:15" ht="14.5" customHeight="1" x14ac:dyDescent="0.35">
      <c r="A1185" s="20" t="s">
        <v>2364</v>
      </c>
      <c r="B1185" s="2" t="s">
        <v>2365</v>
      </c>
      <c r="C1185" s="17" t="s">
        <v>3109</v>
      </c>
      <c r="D1185" s="2" t="s">
        <v>237</v>
      </c>
      <c r="E1185" s="15" t="s">
        <v>217</v>
      </c>
      <c r="F1185" t="s">
        <v>170</v>
      </c>
      <c r="G1185" s="2" t="str">
        <f t="shared" si="18"/>
        <v>Medium</v>
      </c>
      <c r="H1185" s="3">
        <v>2404</v>
      </c>
      <c r="I1185" s="4">
        <v>1.6</v>
      </c>
      <c r="J1185" s="5">
        <v>50336.972129783695</v>
      </c>
      <c r="K1185" s="6">
        <v>1.0279019646305336E-2</v>
      </c>
      <c r="L1185" s="5">
        <v>560.83860232945096</v>
      </c>
      <c r="M1185" s="5">
        <v>1806.0644758735441</v>
      </c>
      <c r="N1185" s="11">
        <v>1183.7009151414309</v>
      </c>
      <c r="O1185" s="13">
        <v>2024</v>
      </c>
    </row>
    <row r="1186" spans="1:15" ht="14.5" customHeight="1" x14ac:dyDescent="0.35">
      <c r="A1186" s="20" t="s">
        <v>2366</v>
      </c>
      <c r="B1186" s="2" t="s">
        <v>2367</v>
      </c>
      <c r="C1186" s="17" t="s">
        <v>3109</v>
      </c>
      <c r="D1186" s="2" t="s">
        <v>30</v>
      </c>
      <c r="E1186" s="15" t="s">
        <v>273</v>
      </c>
      <c r="F1186" t="s">
        <v>208</v>
      </c>
      <c r="G1186" s="2" t="str">
        <f t="shared" si="18"/>
        <v>Large</v>
      </c>
      <c r="H1186" s="3">
        <v>11145</v>
      </c>
      <c r="I1186" s="4">
        <v>1.3</v>
      </c>
      <c r="J1186" s="5">
        <v>295099.40690892778</v>
      </c>
      <c r="K1186" s="6" t="s">
        <v>27</v>
      </c>
      <c r="L1186" s="5">
        <v>0</v>
      </c>
      <c r="M1186" s="5">
        <v>0</v>
      </c>
      <c r="N1186" s="11">
        <v>0</v>
      </c>
      <c r="O1186" s="13">
        <v>2024</v>
      </c>
    </row>
    <row r="1187" spans="1:15" ht="14.5" customHeight="1" x14ac:dyDescent="0.35">
      <c r="A1187" s="20" t="s">
        <v>2368</v>
      </c>
      <c r="B1187" s="2" t="s">
        <v>2369</v>
      </c>
      <c r="C1187" s="17" t="s">
        <v>3109</v>
      </c>
      <c r="D1187" s="2" t="s">
        <v>30</v>
      </c>
      <c r="E1187" s="15" t="s">
        <v>273</v>
      </c>
      <c r="F1187" t="s">
        <v>208</v>
      </c>
      <c r="G1187" s="2" t="str">
        <f t="shared" si="18"/>
        <v>Medium</v>
      </c>
      <c r="H1187" s="3">
        <v>2990</v>
      </c>
      <c r="I1187" s="4">
        <v>0.8</v>
      </c>
      <c r="J1187" s="5">
        <v>539789.98963210697</v>
      </c>
      <c r="K1187" s="6">
        <v>5.7400002007097937E-3</v>
      </c>
      <c r="L1187" s="5">
        <v>3230.677591973244</v>
      </c>
      <c r="M1187" s="5">
        <v>324.41471571906357</v>
      </c>
      <c r="N1187" s="11">
        <v>3819.5478260869563</v>
      </c>
      <c r="O1187" s="13">
        <v>2024</v>
      </c>
    </row>
    <row r="1188" spans="1:15" ht="14.5" customHeight="1" x14ac:dyDescent="0.35">
      <c r="A1188" s="20" t="s">
        <v>2370</v>
      </c>
      <c r="B1188" s="2" t="s">
        <v>2371</v>
      </c>
      <c r="C1188" s="17" t="s">
        <v>3109</v>
      </c>
      <c r="D1188" s="2" t="s">
        <v>30</v>
      </c>
      <c r="E1188" s="15" t="s">
        <v>273</v>
      </c>
      <c r="F1188" t="s">
        <v>208</v>
      </c>
      <c r="G1188" s="2" t="str">
        <f t="shared" si="18"/>
        <v>Medium</v>
      </c>
      <c r="H1188" s="3">
        <v>7482</v>
      </c>
      <c r="I1188" s="4">
        <v>0.3</v>
      </c>
      <c r="J1188" s="5">
        <v>145833.30499866346</v>
      </c>
      <c r="K1188" s="6">
        <v>3.1298418270376605E-3</v>
      </c>
      <c r="L1188" s="5">
        <v>514.51630580058804</v>
      </c>
      <c r="M1188" s="5">
        <v>513.14274258219723</v>
      </c>
      <c r="N1188" s="11">
        <v>953.86661320502537</v>
      </c>
      <c r="O1188" s="13">
        <v>2024</v>
      </c>
    </row>
    <row r="1189" spans="1:15" ht="14.5" customHeight="1" x14ac:dyDescent="0.35">
      <c r="A1189" s="20" t="s">
        <v>2372</v>
      </c>
      <c r="B1189" s="2" t="s">
        <v>2373</v>
      </c>
      <c r="C1189" s="17" t="s">
        <v>3109</v>
      </c>
      <c r="D1189" s="2" t="s">
        <v>1</v>
      </c>
      <c r="E1189" s="15" t="s">
        <v>217</v>
      </c>
      <c r="F1189" t="s">
        <v>170</v>
      </c>
      <c r="G1189" s="2" t="str">
        <f t="shared" ref="G1189:G1252" si="19">IF(H1189&lt;=1000,"Small",IF(H1189&lt;=11000,"Medium",IF(H1189&gt;=11000,"Large")))</f>
        <v>Medium</v>
      </c>
      <c r="H1189" s="3">
        <v>2934</v>
      </c>
      <c r="I1189" s="4">
        <v>0.8</v>
      </c>
      <c r="J1189" s="5">
        <v>76804.330947511931</v>
      </c>
      <c r="K1189" s="6">
        <v>1.0937091811406287E-2</v>
      </c>
      <c r="L1189" s="5">
        <v>1312.2972051806407</v>
      </c>
      <c r="M1189" s="5">
        <v>562.37218813905929</v>
      </c>
      <c r="N1189" s="11">
        <v>2439.1141785957739</v>
      </c>
      <c r="O1189" s="13">
        <v>2024</v>
      </c>
    </row>
    <row r="1190" spans="1:15" ht="14.5" customHeight="1" x14ac:dyDescent="0.35">
      <c r="A1190" s="20" t="s">
        <v>2374</v>
      </c>
      <c r="B1190" s="2" t="s">
        <v>2375</v>
      </c>
      <c r="C1190" s="17" t="s">
        <v>3109</v>
      </c>
      <c r="D1190" s="2" t="s">
        <v>61</v>
      </c>
      <c r="E1190" s="15" t="s">
        <v>173</v>
      </c>
      <c r="F1190" t="s">
        <v>170</v>
      </c>
      <c r="G1190" s="2" t="str">
        <f t="shared" si="19"/>
        <v>Medium</v>
      </c>
      <c r="H1190" s="3">
        <v>1463</v>
      </c>
      <c r="I1190" s="4">
        <v>1.1000000000000001</v>
      </c>
      <c r="J1190" s="5">
        <v>62789.805878332198</v>
      </c>
      <c r="K1190" s="6">
        <v>9.1816934030437957E-3</v>
      </c>
      <c r="L1190" s="5">
        <v>765.60218728639779</v>
      </c>
      <c r="M1190" s="5">
        <v>4438.3275803144224</v>
      </c>
      <c r="N1190" s="11">
        <v>3376.6445659603555</v>
      </c>
      <c r="O1190" s="13">
        <v>2024</v>
      </c>
    </row>
    <row r="1191" spans="1:15" ht="14.5" customHeight="1" x14ac:dyDescent="0.35">
      <c r="A1191" s="20" t="s">
        <v>2376</v>
      </c>
      <c r="B1191" s="2" t="s">
        <v>2377</v>
      </c>
      <c r="C1191" s="17" t="s">
        <v>3109</v>
      </c>
      <c r="D1191" s="2" t="s">
        <v>272</v>
      </c>
      <c r="E1191" s="15" t="s">
        <v>273</v>
      </c>
      <c r="F1191" t="s">
        <v>208</v>
      </c>
      <c r="G1191" s="2" t="str">
        <f t="shared" si="19"/>
        <v>Medium</v>
      </c>
      <c r="H1191" s="3">
        <v>2583</v>
      </c>
      <c r="I1191" s="4">
        <v>1</v>
      </c>
      <c r="J1191" s="5">
        <v>303182.29074719321</v>
      </c>
      <c r="K1191" s="6">
        <v>1.756985201819496E-3</v>
      </c>
      <c r="L1191" s="5">
        <v>536.53503677893923</v>
      </c>
      <c r="M1191" s="5">
        <v>2963.2210607820366</v>
      </c>
      <c r="N1191" s="11">
        <v>5873.4204413472708</v>
      </c>
      <c r="O1191" s="13">
        <v>2024</v>
      </c>
    </row>
    <row r="1192" spans="1:15" ht="14.5" customHeight="1" x14ac:dyDescent="0.35">
      <c r="A1192" s="20" t="s">
        <v>2378</v>
      </c>
      <c r="B1192" s="2" t="s">
        <v>2379</v>
      </c>
      <c r="C1192" s="17" t="s">
        <v>3109</v>
      </c>
      <c r="D1192" s="2" t="s">
        <v>237</v>
      </c>
      <c r="E1192" s="15" t="s">
        <v>217</v>
      </c>
      <c r="F1192" t="s">
        <v>170</v>
      </c>
      <c r="G1192" s="2" t="str">
        <f t="shared" si="19"/>
        <v>Medium</v>
      </c>
      <c r="H1192" s="3">
        <v>1651</v>
      </c>
      <c r="I1192" s="4">
        <v>1.5</v>
      </c>
      <c r="J1192" s="5">
        <v>67773.166565717751</v>
      </c>
      <c r="K1192" s="6">
        <v>1.0360769756255186E-2</v>
      </c>
      <c r="L1192" s="5">
        <v>810.23583282858863</v>
      </c>
      <c r="M1192" s="5">
        <v>3980.626287098728</v>
      </c>
      <c r="N1192" s="11">
        <v>2435.897050272562</v>
      </c>
      <c r="O1192" s="13">
        <v>2024</v>
      </c>
    </row>
    <row r="1193" spans="1:15" ht="14.5" customHeight="1" x14ac:dyDescent="0.35">
      <c r="A1193" s="20" t="s">
        <v>2380</v>
      </c>
      <c r="B1193" s="2" t="s">
        <v>2381</v>
      </c>
      <c r="C1193" s="17" t="s">
        <v>3109</v>
      </c>
      <c r="D1193" s="2" t="s">
        <v>53</v>
      </c>
      <c r="E1193" s="15" t="s">
        <v>207</v>
      </c>
      <c r="F1193" t="s">
        <v>208</v>
      </c>
      <c r="G1193" s="2" t="str">
        <f t="shared" si="19"/>
        <v>Medium</v>
      </c>
      <c r="H1193" s="3">
        <v>2994</v>
      </c>
      <c r="I1193" s="4">
        <v>2.1</v>
      </c>
      <c r="J1193" s="5">
        <v>140028.51235804943</v>
      </c>
      <c r="K1193" s="6">
        <v>6.93625078732534E-3</v>
      </c>
      <c r="L1193" s="5">
        <v>1232.3871075484301</v>
      </c>
      <c r="M1193" s="5">
        <v>468.2698730794923</v>
      </c>
      <c r="N1193" s="11">
        <v>1998.7588510354042</v>
      </c>
      <c r="O1193" s="13">
        <v>2024</v>
      </c>
    </row>
    <row r="1194" spans="1:15" ht="14.5" customHeight="1" x14ac:dyDescent="0.35">
      <c r="A1194" s="20" t="s">
        <v>2382</v>
      </c>
      <c r="B1194" s="2" t="s">
        <v>2383</v>
      </c>
      <c r="C1194" s="17" t="s">
        <v>3109</v>
      </c>
      <c r="D1194" s="2" t="s">
        <v>39</v>
      </c>
      <c r="E1194" s="15" t="s">
        <v>173</v>
      </c>
      <c r="F1194" t="s">
        <v>170</v>
      </c>
      <c r="G1194" s="2" t="str">
        <f t="shared" si="19"/>
        <v>Medium</v>
      </c>
      <c r="H1194" s="3">
        <v>2145</v>
      </c>
      <c r="I1194" s="4">
        <v>1.7</v>
      </c>
      <c r="J1194" s="5">
        <v>46602.783682983682</v>
      </c>
      <c r="K1194" s="6">
        <v>9.0091254890773496E-3</v>
      </c>
      <c r="L1194" s="5">
        <v>695.50471328671335</v>
      </c>
      <c r="M1194" s="5">
        <v>2363.6363636363635</v>
      </c>
      <c r="N1194" s="11">
        <v>3906.4088578088576</v>
      </c>
      <c r="O1194" s="13">
        <v>2024</v>
      </c>
    </row>
    <row r="1195" spans="1:15" ht="14.5" customHeight="1" x14ac:dyDescent="0.35">
      <c r="A1195" s="20" t="s">
        <v>2384</v>
      </c>
      <c r="B1195" s="2" t="s">
        <v>2385</v>
      </c>
      <c r="C1195" s="17" t="s">
        <v>3109</v>
      </c>
      <c r="D1195" s="2" t="s">
        <v>3</v>
      </c>
      <c r="E1195" s="15" t="s">
        <v>214</v>
      </c>
      <c r="F1195" t="s">
        <v>170</v>
      </c>
      <c r="G1195" s="2" t="str">
        <f t="shared" si="19"/>
        <v>Medium</v>
      </c>
      <c r="H1195" s="3">
        <v>1117</v>
      </c>
      <c r="I1195" s="4">
        <v>1.5</v>
      </c>
      <c r="J1195" s="5">
        <v>63809.680393912262</v>
      </c>
      <c r="K1195" s="6" t="s">
        <v>27</v>
      </c>
      <c r="L1195" s="5">
        <v>0</v>
      </c>
      <c r="M1195" s="5">
        <v>0</v>
      </c>
      <c r="N1195" s="11">
        <v>0</v>
      </c>
      <c r="O1195" s="13">
        <v>2024</v>
      </c>
    </row>
    <row r="1196" spans="1:15" ht="14.5" customHeight="1" x14ac:dyDescent="0.35">
      <c r="A1196" s="20" t="s">
        <v>2386</v>
      </c>
      <c r="B1196" s="2" t="s">
        <v>2387</v>
      </c>
      <c r="C1196" s="17" t="s">
        <v>3109</v>
      </c>
      <c r="D1196" s="2" t="s">
        <v>13</v>
      </c>
      <c r="E1196" s="15" t="s">
        <v>186</v>
      </c>
      <c r="F1196" t="s">
        <v>170</v>
      </c>
      <c r="G1196" s="2" t="str">
        <f t="shared" si="19"/>
        <v>Medium</v>
      </c>
      <c r="H1196" s="3">
        <v>9696</v>
      </c>
      <c r="I1196" s="4">
        <v>2.5</v>
      </c>
      <c r="J1196" s="5">
        <v>94223.418419966998</v>
      </c>
      <c r="K1196" s="6">
        <v>8.2641377532629463E-3</v>
      </c>
      <c r="L1196" s="5">
        <v>992.96103032178223</v>
      </c>
      <c r="M1196" s="5">
        <v>977.20709570957092</v>
      </c>
      <c r="N1196" s="11">
        <v>1404.8781910066007</v>
      </c>
      <c r="O1196" s="13">
        <v>2024</v>
      </c>
    </row>
    <row r="1197" spans="1:15" ht="14.5" customHeight="1" x14ac:dyDescent="0.35">
      <c r="A1197" s="20" t="s">
        <v>2388</v>
      </c>
      <c r="B1197" s="2" t="s">
        <v>2389</v>
      </c>
      <c r="C1197" s="17" t="s">
        <v>3109</v>
      </c>
      <c r="D1197" s="2" t="s">
        <v>67</v>
      </c>
      <c r="E1197" s="15" t="s">
        <v>183</v>
      </c>
      <c r="F1197" t="s">
        <v>170</v>
      </c>
      <c r="G1197" s="2" t="str">
        <f t="shared" si="19"/>
        <v>Medium</v>
      </c>
      <c r="H1197" s="3">
        <v>4107</v>
      </c>
      <c r="I1197" s="4">
        <v>2.5</v>
      </c>
      <c r="J1197" s="5">
        <v>45218.131482834186</v>
      </c>
      <c r="K1197" s="6">
        <v>1.0704365570079245E-2</v>
      </c>
      <c r="L1197" s="5">
        <v>668.9069880691502</v>
      </c>
      <c r="M1197" s="5">
        <v>3601.5962990017042</v>
      </c>
      <c r="N1197" s="11">
        <v>2966.6542488434379</v>
      </c>
      <c r="O1197" s="13">
        <v>2024</v>
      </c>
    </row>
    <row r="1198" spans="1:15" ht="14.5" customHeight="1" x14ac:dyDescent="0.35">
      <c r="A1198" s="20" t="s">
        <v>2390</v>
      </c>
      <c r="B1198" s="2" t="s">
        <v>2391</v>
      </c>
      <c r="C1198" s="17" t="s">
        <v>3109</v>
      </c>
      <c r="D1198" s="2" t="s">
        <v>63</v>
      </c>
      <c r="E1198" s="15" t="s">
        <v>169</v>
      </c>
      <c r="F1198" t="s">
        <v>170</v>
      </c>
      <c r="G1198" s="2" t="str">
        <f t="shared" si="19"/>
        <v>Small</v>
      </c>
      <c r="H1198" s="3">
        <v>273</v>
      </c>
      <c r="I1198" s="4">
        <v>0.6</v>
      </c>
      <c r="J1198" s="5">
        <v>39425.018315018315</v>
      </c>
      <c r="K1198" s="6" t="s">
        <v>27</v>
      </c>
      <c r="L1198" s="5">
        <v>0</v>
      </c>
      <c r="M1198" s="5">
        <v>0</v>
      </c>
      <c r="N1198" s="11">
        <v>0</v>
      </c>
      <c r="O1198" s="13">
        <v>2024</v>
      </c>
    </row>
    <row r="1199" spans="1:15" ht="14.5" customHeight="1" x14ac:dyDescent="0.35">
      <c r="A1199" s="20" t="s">
        <v>2392</v>
      </c>
      <c r="B1199" s="2" t="s">
        <v>2393</v>
      </c>
      <c r="C1199" s="17" t="s">
        <v>3109</v>
      </c>
      <c r="D1199" s="2" t="s">
        <v>18</v>
      </c>
      <c r="E1199" s="15" t="s">
        <v>173</v>
      </c>
      <c r="F1199" t="s">
        <v>170</v>
      </c>
      <c r="G1199" s="2" t="str">
        <f t="shared" si="19"/>
        <v>Small</v>
      </c>
      <c r="H1199" s="3">
        <v>583</v>
      </c>
      <c r="I1199" s="4">
        <v>0.4</v>
      </c>
      <c r="J1199" s="5">
        <v>114656.269296741</v>
      </c>
      <c r="K1199" s="6">
        <v>6.6778775938611656E-3</v>
      </c>
      <c r="L1199" s="5">
        <v>1207.7665694682678</v>
      </c>
      <c r="M1199" s="5">
        <v>4163.0415265866204</v>
      </c>
      <c r="N1199" s="11">
        <v>5759.2762092624353</v>
      </c>
      <c r="O1199" s="13">
        <v>2024</v>
      </c>
    </row>
    <row r="1200" spans="1:15" ht="14.5" customHeight="1" x14ac:dyDescent="0.35">
      <c r="A1200" s="20" t="s">
        <v>2394</v>
      </c>
      <c r="B1200" s="2" t="s">
        <v>2395</v>
      </c>
      <c r="C1200" s="17" t="s">
        <v>3109</v>
      </c>
      <c r="D1200" s="2" t="s">
        <v>220</v>
      </c>
      <c r="E1200" s="15" t="s">
        <v>173</v>
      </c>
      <c r="F1200" t="s">
        <v>170</v>
      </c>
      <c r="G1200" s="2" t="str">
        <f t="shared" si="19"/>
        <v>Small</v>
      </c>
      <c r="H1200" s="3">
        <v>908</v>
      </c>
      <c r="I1200" s="4">
        <v>1.5</v>
      </c>
      <c r="J1200" s="5">
        <v>96787.610132158588</v>
      </c>
      <c r="K1200" s="6">
        <v>1.0864455700552382E-2</v>
      </c>
      <c r="L1200" s="5">
        <v>1094.7631387665197</v>
      </c>
      <c r="M1200" s="5">
        <v>1846.681718061674</v>
      </c>
      <c r="N1200" s="11">
        <v>2283.9185572687225</v>
      </c>
      <c r="O1200" s="13">
        <v>2024</v>
      </c>
    </row>
    <row r="1201" spans="1:15" ht="14.5" customHeight="1" x14ac:dyDescent="0.35">
      <c r="A1201" s="20" t="s">
        <v>2396</v>
      </c>
      <c r="B1201" s="2" t="s">
        <v>2397</v>
      </c>
      <c r="C1201" s="17" t="s">
        <v>3109</v>
      </c>
      <c r="D1201" s="2" t="s">
        <v>26</v>
      </c>
      <c r="E1201" s="15" t="s">
        <v>183</v>
      </c>
      <c r="F1201" t="s">
        <v>170</v>
      </c>
      <c r="G1201" s="2" t="str">
        <f t="shared" si="19"/>
        <v>Small</v>
      </c>
      <c r="H1201" s="3">
        <v>535</v>
      </c>
      <c r="I1201" s="4">
        <v>1.2</v>
      </c>
      <c r="J1201" s="5">
        <v>51313.237383177569</v>
      </c>
      <c r="K1201" s="6">
        <v>2.0199192921088443E-3</v>
      </c>
      <c r="L1201" s="5">
        <v>197.21495327102804</v>
      </c>
      <c r="M1201" s="5">
        <v>0</v>
      </c>
      <c r="N1201" s="11">
        <v>208.97943925233645</v>
      </c>
      <c r="O1201" s="13">
        <v>2024</v>
      </c>
    </row>
    <row r="1202" spans="1:15" ht="14.5" customHeight="1" x14ac:dyDescent="0.35">
      <c r="A1202" s="20" t="s">
        <v>2398</v>
      </c>
      <c r="B1202" s="2" t="s">
        <v>2399</v>
      </c>
      <c r="C1202" s="17" t="s">
        <v>3109</v>
      </c>
      <c r="D1202" s="2" t="s">
        <v>53</v>
      </c>
      <c r="E1202" s="15" t="s">
        <v>207</v>
      </c>
      <c r="F1202" t="s">
        <v>208</v>
      </c>
      <c r="G1202" s="2" t="str">
        <f t="shared" si="19"/>
        <v>Medium</v>
      </c>
      <c r="H1202" s="3">
        <v>2714</v>
      </c>
      <c r="I1202" s="4">
        <v>1</v>
      </c>
      <c r="J1202" s="5">
        <v>88948.294399410457</v>
      </c>
      <c r="K1202" s="6">
        <v>8.5175670955965239E-3</v>
      </c>
      <c r="L1202" s="5">
        <v>999.83014001473839</v>
      </c>
      <c r="M1202" s="5">
        <v>2065.217391304348</v>
      </c>
      <c r="N1202" s="11">
        <v>3478.1046425939571</v>
      </c>
      <c r="O1202" s="13">
        <v>2024</v>
      </c>
    </row>
    <row r="1203" spans="1:15" ht="14.5" customHeight="1" x14ac:dyDescent="0.35">
      <c r="A1203" s="20" t="s">
        <v>2400</v>
      </c>
      <c r="B1203" s="2" t="s">
        <v>2401</v>
      </c>
      <c r="C1203" s="17" t="s">
        <v>3109</v>
      </c>
      <c r="D1203" s="2" t="s">
        <v>55</v>
      </c>
      <c r="E1203" s="15" t="s">
        <v>207</v>
      </c>
      <c r="F1203" t="s">
        <v>208</v>
      </c>
      <c r="G1203" s="2" t="str">
        <f t="shared" si="19"/>
        <v>Large</v>
      </c>
      <c r="H1203" s="3">
        <v>28218</v>
      </c>
      <c r="I1203" s="4">
        <v>16.8</v>
      </c>
      <c r="J1203" s="5">
        <v>382060.39605925296</v>
      </c>
      <c r="K1203" s="6">
        <v>7.6306716130210869E-4</v>
      </c>
      <c r="L1203" s="5">
        <v>402.11740732865547</v>
      </c>
      <c r="M1203" s="5">
        <v>5013.0671202778367</v>
      </c>
      <c r="N1203" s="11">
        <v>1270.3268481111347</v>
      </c>
      <c r="O1203" s="13">
        <v>2024</v>
      </c>
    </row>
    <row r="1204" spans="1:15" ht="14.5" customHeight="1" x14ac:dyDescent="0.35">
      <c r="A1204" s="20" t="s">
        <v>2402</v>
      </c>
      <c r="B1204" s="2" t="s">
        <v>2403</v>
      </c>
      <c r="C1204" s="17" t="s">
        <v>3109</v>
      </c>
      <c r="D1204" s="2" t="s">
        <v>55</v>
      </c>
      <c r="E1204" s="15" t="s">
        <v>207</v>
      </c>
      <c r="F1204" t="s">
        <v>208</v>
      </c>
      <c r="G1204" s="2" t="str">
        <f t="shared" si="19"/>
        <v>Medium</v>
      </c>
      <c r="H1204" s="3">
        <v>8590</v>
      </c>
      <c r="I1204" s="4">
        <v>2</v>
      </c>
      <c r="J1204" s="5">
        <v>251505.45832363213</v>
      </c>
      <c r="K1204" s="6">
        <v>5.6769112110406465E-3</v>
      </c>
      <c r="L1204" s="5">
        <v>1734.9838183934808</v>
      </c>
      <c r="M1204" s="5">
        <v>945.86728754365538</v>
      </c>
      <c r="N1204" s="11">
        <v>2494.5065192083816</v>
      </c>
      <c r="O1204" s="13">
        <v>2024</v>
      </c>
    </row>
    <row r="1205" spans="1:15" ht="14.5" customHeight="1" x14ac:dyDescent="0.35">
      <c r="A1205" s="20" t="s">
        <v>2404</v>
      </c>
      <c r="B1205" s="2" t="s">
        <v>2405</v>
      </c>
      <c r="C1205" s="17" t="s">
        <v>3109</v>
      </c>
      <c r="D1205" s="2" t="s">
        <v>513</v>
      </c>
      <c r="E1205" s="15" t="s">
        <v>207</v>
      </c>
      <c r="F1205" t="s">
        <v>208</v>
      </c>
      <c r="G1205" s="2" t="str">
        <f t="shared" si="19"/>
        <v>Large</v>
      </c>
      <c r="H1205" s="3">
        <v>12323</v>
      </c>
      <c r="I1205" s="4">
        <v>2</v>
      </c>
      <c r="J1205" s="5">
        <v>70763.626308528765</v>
      </c>
      <c r="K1205" s="6">
        <v>1.0152124153798384E-2</v>
      </c>
      <c r="L1205" s="5">
        <v>805.05169195812709</v>
      </c>
      <c r="M1205" s="5">
        <v>1570.964862452325</v>
      </c>
      <c r="N1205" s="11">
        <v>1096.1632719305364</v>
      </c>
      <c r="O1205" s="13">
        <v>2024</v>
      </c>
    </row>
    <row r="1206" spans="1:15" ht="14.5" customHeight="1" x14ac:dyDescent="0.35">
      <c r="A1206" s="20" t="s">
        <v>2406</v>
      </c>
      <c r="B1206" s="2" t="s">
        <v>2407</v>
      </c>
      <c r="C1206" s="17" t="s">
        <v>3109</v>
      </c>
      <c r="D1206" s="2" t="s">
        <v>272</v>
      </c>
      <c r="E1206" s="15" t="s">
        <v>273</v>
      </c>
      <c r="F1206" t="s">
        <v>208</v>
      </c>
      <c r="G1206" s="2" t="str">
        <f t="shared" si="19"/>
        <v>Medium</v>
      </c>
      <c r="H1206" s="3">
        <v>1520</v>
      </c>
      <c r="I1206" s="4">
        <v>2.8</v>
      </c>
      <c r="J1206" s="5">
        <v>390387.01644736843</v>
      </c>
      <c r="K1206" s="6">
        <v>2.0417946755317113E-3</v>
      </c>
      <c r="L1206" s="5">
        <v>914.92302631578946</v>
      </c>
      <c r="M1206" s="5">
        <v>197.36842105263159</v>
      </c>
      <c r="N1206" s="11">
        <v>1406.7651315789474</v>
      </c>
      <c r="O1206" s="13">
        <v>2024</v>
      </c>
    </row>
    <row r="1207" spans="1:15" ht="14.5" customHeight="1" x14ac:dyDescent="0.35">
      <c r="A1207" s="20" t="s">
        <v>2408</v>
      </c>
      <c r="B1207" s="2" t="s">
        <v>2409</v>
      </c>
      <c r="C1207" s="17" t="s">
        <v>3109</v>
      </c>
      <c r="D1207" s="2" t="s">
        <v>30</v>
      </c>
      <c r="E1207" s="15" t="s">
        <v>273</v>
      </c>
      <c r="F1207" t="s">
        <v>208</v>
      </c>
      <c r="G1207" s="2" t="str">
        <f t="shared" si="19"/>
        <v>Large</v>
      </c>
      <c r="H1207" s="3">
        <v>59169</v>
      </c>
      <c r="I1207" s="4">
        <v>3.7</v>
      </c>
      <c r="J1207" s="5">
        <v>73286.387280501614</v>
      </c>
      <c r="K1207" s="6">
        <v>1.4978434582983714E-2</v>
      </c>
      <c r="L1207" s="5">
        <v>1195.0162962024033</v>
      </c>
      <c r="M1207" s="5">
        <v>464.59783771907587</v>
      </c>
      <c r="N1207" s="11">
        <v>1844.9362600348154</v>
      </c>
      <c r="O1207" s="13">
        <v>2024</v>
      </c>
    </row>
    <row r="1208" spans="1:15" ht="14.5" customHeight="1" x14ac:dyDescent="0.35">
      <c r="A1208" s="20" t="s">
        <v>2410</v>
      </c>
      <c r="B1208" s="2" t="s">
        <v>2411</v>
      </c>
      <c r="C1208" s="17" t="s">
        <v>3109</v>
      </c>
      <c r="D1208" s="2" t="s">
        <v>46</v>
      </c>
      <c r="E1208" s="15" t="s">
        <v>214</v>
      </c>
      <c r="F1208" t="s">
        <v>170</v>
      </c>
      <c r="G1208" s="2" t="str">
        <f t="shared" si="19"/>
        <v>Medium</v>
      </c>
      <c r="H1208" s="3">
        <v>7234</v>
      </c>
      <c r="I1208" s="4">
        <v>2.6</v>
      </c>
      <c r="J1208" s="5">
        <v>38775.547967929226</v>
      </c>
      <c r="K1208" s="6">
        <v>1.9462747961501665E-2</v>
      </c>
      <c r="L1208" s="5">
        <v>897.59433508432392</v>
      </c>
      <c r="M1208" s="5">
        <v>979.02474426320157</v>
      </c>
      <c r="N1208" s="11">
        <v>1492.2063892728779</v>
      </c>
      <c r="O1208" s="13">
        <v>2024</v>
      </c>
    </row>
    <row r="1209" spans="1:15" ht="14.5" customHeight="1" x14ac:dyDescent="0.35">
      <c r="A1209" s="20" t="s">
        <v>2412</v>
      </c>
      <c r="B1209" s="2" t="s">
        <v>2413</v>
      </c>
      <c r="C1209" s="17" t="s">
        <v>3109</v>
      </c>
      <c r="D1209" s="2" t="s">
        <v>63</v>
      </c>
      <c r="E1209" s="15" t="s">
        <v>169</v>
      </c>
      <c r="F1209" t="s">
        <v>170</v>
      </c>
      <c r="G1209" s="2" t="str">
        <f t="shared" si="19"/>
        <v>Small</v>
      </c>
      <c r="H1209" s="3">
        <v>722</v>
      </c>
      <c r="I1209" s="4">
        <v>0.8</v>
      </c>
      <c r="J1209" s="5">
        <v>38270.955678670362</v>
      </c>
      <c r="K1209" s="6">
        <v>9.6938544704022155E-3</v>
      </c>
      <c r="L1209" s="5">
        <v>597.4819944598338</v>
      </c>
      <c r="M1209" s="5">
        <v>13635.818559556787</v>
      </c>
      <c r="N1209" s="11">
        <v>7707.2022160664819</v>
      </c>
      <c r="O1209" s="13">
        <v>2024</v>
      </c>
    </row>
    <row r="1210" spans="1:15" ht="14.5" customHeight="1" x14ac:dyDescent="0.35">
      <c r="A1210" s="20" t="s">
        <v>2414</v>
      </c>
      <c r="B1210" s="2" t="s">
        <v>2415</v>
      </c>
      <c r="C1210" s="17" t="s">
        <v>3109</v>
      </c>
      <c r="D1210" s="2" t="s">
        <v>30</v>
      </c>
      <c r="E1210" s="15" t="s">
        <v>273</v>
      </c>
      <c r="F1210" t="s">
        <v>208</v>
      </c>
      <c r="G1210" s="2" t="str">
        <f t="shared" si="19"/>
        <v>Small</v>
      </c>
      <c r="H1210" s="3">
        <v>494</v>
      </c>
      <c r="I1210" s="4">
        <v>0.3</v>
      </c>
      <c r="J1210" s="5">
        <v>365416.76518218621</v>
      </c>
      <c r="K1210" s="6">
        <v>1.2154443009064434E-3</v>
      </c>
      <c r="L1210" s="5">
        <v>530.36437246963567</v>
      </c>
      <c r="M1210" s="5">
        <v>0</v>
      </c>
      <c r="N1210" s="11">
        <v>1193</v>
      </c>
      <c r="O1210" s="13">
        <v>2024</v>
      </c>
    </row>
    <row r="1211" spans="1:15" ht="14.5" customHeight="1" x14ac:dyDescent="0.35">
      <c r="A1211" s="20" t="s">
        <v>2416</v>
      </c>
      <c r="B1211" s="2" t="s">
        <v>2417</v>
      </c>
      <c r="C1211" s="17" t="s">
        <v>3109</v>
      </c>
      <c r="D1211" s="2" t="s">
        <v>30</v>
      </c>
      <c r="E1211" s="15" t="s">
        <v>273</v>
      </c>
      <c r="F1211" t="s">
        <v>208</v>
      </c>
      <c r="G1211" s="2" t="str">
        <f t="shared" si="19"/>
        <v>Medium</v>
      </c>
      <c r="H1211" s="3">
        <v>1290</v>
      </c>
      <c r="I1211" s="4">
        <v>0.7</v>
      </c>
      <c r="J1211" s="5">
        <v>376680.3465116279</v>
      </c>
      <c r="K1211" s="6">
        <v>1.137855361733755E-3</v>
      </c>
      <c r="L1211" s="5">
        <v>493.52325581395348</v>
      </c>
      <c r="M1211" s="5">
        <v>0</v>
      </c>
      <c r="N1211" s="11">
        <v>894.81860465116279</v>
      </c>
      <c r="O1211" s="13">
        <v>2024</v>
      </c>
    </row>
    <row r="1212" spans="1:15" ht="14.5" customHeight="1" x14ac:dyDescent="0.35">
      <c r="A1212" s="20" t="s">
        <v>2418</v>
      </c>
      <c r="B1212" s="2" t="s">
        <v>2419</v>
      </c>
      <c r="C1212" s="17" t="s">
        <v>3109</v>
      </c>
      <c r="D1212" s="2" t="s">
        <v>30</v>
      </c>
      <c r="E1212" s="15" t="s">
        <v>273</v>
      </c>
      <c r="F1212" t="s">
        <v>208</v>
      </c>
      <c r="G1212" s="2" t="str">
        <f t="shared" si="19"/>
        <v>Small</v>
      </c>
      <c r="H1212" s="3">
        <v>569</v>
      </c>
      <c r="I1212" s="4">
        <v>0.2</v>
      </c>
      <c r="J1212" s="5">
        <v>276581.20562390157</v>
      </c>
      <c r="K1212" s="6">
        <v>1.7152565800504181E-3</v>
      </c>
      <c r="L1212" s="5">
        <v>526.20035149384887</v>
      </c>
      <c r="M1212" s="5">
        <v>0</v>
      </c>
      <c r="N1212" s="11">
        <v>721.14938488576445</v>
      </c>
      <c r="O1212" s="13">
        <v>2024</v>
      </c>
    </row>
    <row r="1213" spans="1:15" ht="14.5" customHeight="1" x14ac:dyDescent="0.35">
      <c r="A1213" s="20" t="s">
        <v>2420</v>
      </c>
      <c r="B1213" s="2" t="s">
        <v>2421</v>
      </c>
      <c r="C1213" s="17" t="s">
        <v>3109</v>
      </c>
      <c r="D1213" s="2" t="s">
        <v>53</v>
      </c>
      <c r="E1213" s="15" t="s">
        <v>207</v>
      </c>
      <c r="F1213" t="s">
        <v>208</v>
      </c>
      <c r="G1213" s="2" t="str">
        <f t="shared" si="19"/>
        <v>Medium</v>
      </c>
      <c r="H1213" s="3">
        <v>3684</v>
      </c>
      <c r="I1213" s="4">
        <v>1.1000000000000001</v>
      </c>
      <c r="J1213" s="5">
        <v>105436.43431053203</v>
      </c>
      <c r="K1213" s="6">
        <v>8.6365285716504189E-3</v>
      </c>
      <c r="L1213" s="5">
        <v>1369.120792616721</v>
      </c>
      <c r="M1213" s="5">
        <v>3958.6712812160695</v>
      </c>
      <c r="N1213" s="11">
        <v>4896.3916938110751</v>
      </c>
      <c r="O1213" s="13">
        <v>2024</v>
      </c>
    </row>
    <row r="1214" spans="1:15" ht="14.5" customHeight="1" x14ac:dyDescent="0.35">
      <c r="A1214" s="20" t="s">
        <v>2422</v>
      </c>
      <c r="B1214" s="2" t="s">
        <v>2423</v>
      </c>
      <c r="C1214" s="17" t="s">
        <v>3109</v>
      </c>
      <c r="D1214" s="2" t="s">
        <v>513</v>
      </c>
      <c r="E1214" s="15" t="s">
        <v>207</v>
      </c>
      <c r="F1214" t="s">
        <v>208</v>
      </c>
      <c r="G1214" s="2" t="str">
        <f t="shared" si="19"/>
        <v>Small</v>
      </c>
      <c r="H1214" s="3">
        <v>930</v>
      </c>
      <c r="I1214" s="4">
        <v>2.2999999999999998</v>
      </c>
      <c r="J1214" s="5">
        <v>196174.33440860215</v>
      </c>
      <c r="K1214" s="6">
        <v>6.868260051183025E-3</v>
      </c>
      <c r="L1214" s="5">
        <v>1420.3440860215053</v>
      </c>
      <c r="M1214" s="5">
        <v>476.3440860215054</v>
      </c>
      <c r="N1214" s="11">
        <v>2013.9451612903226</v>
      </c>
      <c r="O1214" s="13">
        <v>2024</v>
      </c>
    </row>
    <row r="1215" spans="1:15" ht="14.5" customHeight="1" x14ac:dyDescent="0.35">
      <c r="A1215" s="20" t="s">
        <v>2424</v>
      </c>
      <c r="B1215" s="2" t="s">
        <v>2425</v>
      </c>
      <c r="C1215" s="17" t="s">
        <v>3109</v>
      </c>
      <c r="D1215" s="2" t="s">
        <v>79</v>
      </c>
      <c r="E1215" s="15" t="s">
        <v>178</v>
      </c>
      <c r="F1215" t="s">
        <v>170</v>
      </c>
      <c r="G1215" s="2" t="str">
        <f t="shared" si="19"/>
        <v>Medium</v>
      </c>
      <c r="H1215" s="3">
        <v>6027</v>
      </c>
      <c r="I1215" s="4">
        <v>1.8</v>
      </c>
      <c r="J1215" s="5">
        <v>48949.645926663346</v>
      </c>
      <c r="K1215" s="6">
        <v>2.1939852277433739E-3</v>
      </c>
      <c r="L1215" s="5">
        <v>415.21151982744317</v>
      </c>
      <c r="M1215" s="5">
        <v>0</v>
      </c>
      <c r="N1215" s="11">
        <v>732.69625352580056</v>
      </c>
      <c r="O1215" s="13">
        <v>2024</v>
      </c>
    </row>
    <row r="1216" spans="1:15" ht="14.5" customHeight="1" x14ac:dyDescent="0.35">
      <c r="A1216" s="20" t="s">
        <v>2426</v>
      </c>
      <c r="B1216" s="2" t="s">
        <v>2427</v>
      </c>
      <c r="C1216" s="17" t="s">
        <v>3109</v>
      </c>
      <c r="D1216" s="2" t="s">
        <v>220</v>
      </c>
      <c r="E1216" s="15" t="s">
        <v>173</v>
      </c>
      <c r="F1216" t="s">
        <v>170</v>
      </c>
      <c r="G1216" s="2" t="str">
        <f t="shared" si="19"/>
        <v>Small</v>
      </c>
      <c r="H1216" s="3">
        <v>351</v>
      </c>
      <c r="I1216" s="4">
        <v>0.5</v>
      </c>
      <c r="J1216" s="5">
        <v>147527.32763532765</v>
      </c>
      <c r="K1216" s="6">
        <v>4.8764155762575211E-3</v>
      </c>
      <c r="L1216" s="5">
        <v>759.91737891737887</v>
      </c>
      <c r="M1216" s="5">
        <v>1465.2222222222222</v>
      </c>
      <c r="N1216" s="11">
        <v>3368.7037037037039</v>
      </c>
      <c r="O1216" s="13">
        <v>2024</v>
      </c>
    </row>
    <row r="1217" spans="1:15" ht="14.5" customHeight="1" x14ac:dyDescent="0.35">
      <c r="A1217" s="20" t="s">
        <v>2428</v>
      </c>
      <c r="B1217" s="2" t="s">
        <v>2429</v>
      </c>
      <c r="C1217" s="17" t="s">
        <v>3109</v>
      </c>
      <c r="D1217" s="2" t="s">
        <v>81</v>
      </c>
      <c r="E1217" s="15" t="s">
        <v>214</v>
      </c>
      <c r="F1217" t="s">
        <v>170</v>
      </c>
      <c r="G1217" s="2" t="str">
        <f t="shared" si="19"/>
        <v>Small</v>
      </c>
      <c r="H1217" s="3">
        <v>416</v>
      </c>
      <c r="I1217" s="4">
        <v>0.5</v>
      </c>
      <c r="J1217" s="5">
        <v>59825.444711538461</v>
      </c>
      <c r="K1217" s="6" t="s">
        <v>27</v>
      </c>
      <c r="L1217" s="5">
        <v>0</v>
      </c>
      <c r="M1217" s="5">
        <v>0</v>
      </c>
      <c r="N1217" s="11">
        <v>0</v>
      </c>
      <c r="O1217" s="13">
        <v>2024</v>
      </c>
    </row>
    <row r="1218" spans="1:15" ht="14.5" customHeight="1" x14ac:dyDescent="0.35">
      <c r="A1218" s="20" t="s">
        <v>2430</v>
      </c>
      <c r="B1218" s="2" t="s">
        <v>2431</v>
      </c>
      <c r="C1218" s="17" t="s">
        <v>3109</v>
      </c>
      <c r="D1218" s="2" t="s">
        <v>181</v>
      </c>
      <c r="E1218" s="15" t="s">
        <v>178</v>
      </c>
      <c r="F1218" t="s">
        <v>170</v>
      </c>
      <c r="G1218" s="2" t="str">
        <f t="shared" si="19"/>
        <v>Medium</v>
      </c>
      <c r="H1218" s="3">
        <v>1754</v>
      </c>
      <c r="I1218" s="4">
        <v>1.3</v>
      </c>
      <c r="J1218" s="5">
        <v>43299.100342075253</v>
      </c>
      <c r="K1218" s="6" t="s">
        <v>27</v>
      </c>
      <c r="L1218" s="5">
        <v>0</v>
      </c>
      <c r="M1218" s="5">
        <v>0</v>
      </c>
      <c r="N1218" s="11">
        <v>0</v>
      </c>
      <c r="O1218" s="13">
        <v>2024</v>
      </c>
    </row>
    <row r="1219" spans="1:15" ht="14.5" customHeight="1" x14ac:dyDescent="0.35">
      <c r="A1219" s="20" t="s">
        <v>2432</v>
      </c>
      <c r="B1219" s="2" t="s">
        <v>2433</v>
      </c>
      <c r="C1219" s="17" t="s">
        <v>3109</v>
      </c>
      <c r="D1219" s="2" t="s">
        <v>20</v>
      </c>
      <c r="E1219" s="15" t="s">
        <v>183</v>
      </c>
      <c r="F1219" t="s">
        <v>170</v>
      </c>
      <c r="G1219" s="2" t="str">
        <f t="shared" si="19"/>
        <v>Medium</v>
      </c>
      <c r="H1219" s="3">
        <v>3210</v>
      </c>
      <c r="I1219" s="4">
        <v>1.9</v>
      </c>
      <c r="J1219" s="5">
        <v>56441.40093457944</v>
      </c>
      <c r="K1219" s="6">
        <v>7.6574774321253548E-3</v>
      </c>
      <c r="L1219" s="5">
        <v>725.15856697819311</v>
      </c>
      <c r="M1219" s="5">
        <v>219.28847352024923</v>
      </c>
      <c r="N1219" s="11">
        <v>1642.0066697819316</v>
      </c>
      <c r="O1219" s="13">
        <v>2024</v>
      </c>
    </row>
    <row r="1220" spans="1:15" ht="14.5" customHeight="1" x14ac:dyDescent="0.35">
      <c r="A1220" s="20" t="s">
        <v>2434</v>
      </c>
      <c r="B1220" s="2" t="s">
        <v>2435</v>
      </c>
      <c r="C1220" s="17" t="s">
        <v>3109</v>
      </c>
      <c r="D1220" s="2" t="s">
        <v>79</v>
      </c>
      <c r="E1220" s="15" t="s">
        <v>178</v>
      </c>
      <c r="F1220" t="s">
        <v>170</v>
      </c>
      <c r="G1220" s="2" t="str">
        <f t="shared" si="19"/>
        <v>Medium</v>
      </c>
      <c r="H1220" s="3">
        <v>2706</v>
      </c>
      <c r="I1220" s="4">
        <v>2.5</v>
      </c>
      <c r="J1220" s="5">
        <v>86544.718773096829</v>
      </c>
      <c r="K1220" s="6">
        <v>2.0677087040036788E-3</v>
      </c>
      <c r="L1220" s="5">
        <v>556.99312638580932</v>
      </c>
      <c r="M1220" s="5">
        <v>118.79936067997043</v>
      </c>
      <c r="N1220" s="11">
        <v>1366.7103843311161</v>
      </c>
      <c r="O1220" s="13">
        <v>2024</v>
      </c>
    </row>
    <row r="1221" spans="1:15" ht="14.5" customHeight="1" x14ac:dyDescent="0.35">
      <c r="A1221" s="20" t="s">
        <v>2436</v>
      </c>
      <c r="B1221" s="2" t="s">
        <v>2437</v>
      </c>
      <c r="C1221" s="17" t="s">
        <v>3109</v>
      </c>
      <c r="D1221" s="2" t="s">
        <v>77</v>
      </c>
      <c r="E1221" s="15" t="s">
        <v>217</v>
      </c>
      <c r="F1221" t="s">
        <v>170</v>
      </c>
      <c r="G1221" s="2" t="str">
        <f t="shared" si="19"/>
        <v>Medium</v>
      </c>
      <c r="H1221" s="3">
        <v>3216</v>
      </c>
      <c r="I1221" s="4">
        <v>1.6</v>
      </c>
      <c r="J1221" s="5">
        <v>47900.130597014926</v>
      </c>
      <c r="K1221" s="6">
        <v>7.4481316784079021E-3</v>
      </c>
      <c r="L1221" s="5">
        <v>462.87997512437812</v>
      </c>
      <c r="M1221" s="5">
        <v>4656.4580223880594</v>
      </c>
      <c r="N1221" s="11">
        <v>1308.9766791044776</v>
      </c>
      <c r="O1221" s="13">
        <v>2024</v>
      </c>
    </row>
    <row r="1222" spans="1:15" ht="14.5" customHeight="1" x14ac:dyDescent="0.35">
      <c r="A1222" s="20" t="s">
        <v>2438</v>
      </c>
      <c r="B1222" s="2" t="s">
        <v>2439</v>
      </c>
      <c r="C1222" s="17" t="s">
        <v>3109</v>
      </c>
      <c r="D1222" s="2" t="s">
        <v>24</v>
      </c>
      <c r="E1222" s="15" t="s">
        <v>173</v>
      </c>
      <c r="F1222" t="s">
        <v>170</v>
      </c>
      <c r="G1222" s="2" t="str">
        <f t="shared" si="19"/>
        <v>Medium</v>
      </c>
      <c r="H1222" s="3">
        <v>6606</v>
      </c>
      <c r="I1222" s="4">
        <v>3.9</v>
      </c>
      <c r="J1222" s="5">
        <v>73709.855434453522</v>
      </c>
      <c r="K1222" s="6">
        <v>6.1599975380308572E-3</v>
      </c>
      <c r="L1222" s="5">
        <v>699.96650015137755</v>
      </c>
      <c r="M1222" s="5">
        <v>647.13896457765668</v>
      </c>
      <c r="N1222" s="11">
        <v>1005.0687132909476</v>
      </c>
      <c r="O1222" s="13">
        <v>2024</v>
      </c>
    </row>
    <row r="1223" spans="1:15" ht="14.5" customHeight="1" x14ac:dyDescent="0.35">
      <c r="A1223" s="20" t="s">
        <v>2440</v>
      </c>
      <c r="B1223" s="2" t="s">
        <v>2441</v>
      </c>
      <c r="C1223" s="17" t="s">
        <v>3109</v>
      </c>
      <c r="D1223" s="2" t="s">
        <v>237</v>
      </c>
      <c r="E1223" s="15" t="s">
        <v>217</v>
      </c>
      <c r="F1223" t="s">
        <v>170</v>
      </c>
      <c r="G1223" s="2" t="str">
        <f t="shared" si="19"/>
        <v>Medium</v>
      </c>
      <c r="H1223" s="3">
        <v>7427</v>
      </c>
      <c r="I1223" s="4">
        <v>1.8</v>
      </c>
      <c r="J1223" s="5">
        <v>50717.009963646153</v>
      </c>
      <c r="K1223" s="6" t="s">
        <v>27</v>
      </c>
      <c r="L1223" s="5">
        <v>0</v>
      </c>
      <c r="M1223" s="5">
        <v>0</v>
      </c>
      <c r="N1223" s="11">
        <v>0</v>
      </c>
      <c r="O1223" s="13">
        <v>2024</v>
      </c>
    </row>
    <row r="1224" spans="1:15" ht="14.5" customHeight="1" x14ac:dyDescent="0.35">
      <c r="A1224" s="20" t="s">
        <v>2442</v>
      </c>
      <c r="B1224" s="2" t="s">
        <v>2443</v>
      </c>
      <c r="C1224" s="17" t="s">
        <v>3109</v>
      </c>
      <c r="D1224" s="2" t="s">
        <v>248</v>
      </c>
      <c r="E1224" s="15" t="s">
        <v>217</v>
      </c>
      <c r="F1224" t="s">
        <v>170</v>
      </c>
      <c r="G1224" s="2" t="str">
        <f t="shared" si="19"/>
        <v>Small</v>
      </c>
      <c r="H1224" s="3">
        <v>429</v>
      </c>
      <c r="I1224" s="4">
        <v>1.7</v>
      </c>
      <c r="J1224" s="5" t="s">
        <v>27</v>
      </c>
      <c r="K1224" s="6" t="s">
        <v>27</v>
      </c>
      <c r="L1224" s="5">
        <v>0</v>
      </c>
      <c r="M1224" s="5">
        <v>0</v>
      </c>
      <c r="N1224" s="11">
        <v>0</v>
      </c>
      <c r="O1224" s="13">
        <v>2024</v>
      </c>
    </row>
    <row r="1225" spans="1:15" ht="14.5" customHeight="1" x14ac:dyDescent="0.35">
      <c r="A1225" s="20" t="s">
        <v>2444</v>
      </c>
      <c r="B1225" s="2" t="s">
        <v>2445</v>
      </c>
      <c r="C1225" s="17" t="s">
        <v>3109</v>
      </c>
      <c r="D1225" s="2" t="s">
        <v>272</v>
      </c>
      <c r="E1225" s="15" t="s">
        <v>273</v>
      </c>
      <c r="F1225" t="s">
        <v>208</v>
      </c>
      <c r="G1225" s="2" t="str">
        <f t="shared" si="19"/>
        <v>Medium</v>
      </c>
      <c r="H1225" s="3">
        <v>1446</v>
      </c>
      <c r="I1225" s="4">
        <v>1</v>
      </c>
      <c r="J1225" s="5">
        <v>500608.79183955741</v>
      </c>
      <c r="K1225" s="6">
        <v>2.4399102562691188E-3</v>
      </c>
      <c r="L1225" s="5">
        <v>1281.0290456431535</v>
      </c>
      <c r="M1225" s="5">
        <v>117.56846473029046</v>
      </c>
      <c r="N1225" s="11">
        <v>1746.9398340248963</v>
      </c>
      <c r="O1225" s="13">
        <v>2024</v>
      </c>
    </row>
    <row r="1226" spans="1:15" ht="14.5" customHeight="1" x14ac:dyDescent="0.35">
      <c r="A1226" s="20" t="s">
        <v>2446</v>
      </c>
      <c r="B1226" s="2" t="s">
        <v>2447</v>
      </c>
      <c r="C1226" s="17" t="s">
        <v>3109</v>
      </c>
      <c r="D1226" s="2" t="s">
        <v>46</v>
      </c>
      <c r="E1226" s="15" t="s">
        <v>214</v>
      </c>
      <c r="F1226" t="s">
        <v>170</v>
      </c>
      <c r="G1226" s="2" t="str">
        <f t="shared" si="19"/>
        <v>Medium</v>
      </c>
      <c r="H1226" s="3">
        <v>7646</v>
      </c>
      <c r="I1226" s="4">
        <v>2.5</v>
      </c>
      <c r="J1226" s="5">
        <v>34830.558854302901</v>
      </c>
      <c r="K1226" s="6">
        <v>1.9582606168205223E-2</v>
      </c>
      <c r="L1226" s="5">
        <v>835.03423620193564</v>
      </c>
      <c r="M1226" s="5">
        <v>4530.2203138896157</v>
      </c>
      <c r="N1226" s="11">
        <v>3769.2208200366204</v>
      </c>
      <c r="O1226" s="13">
        <v>2024</v>
      </c>
    </row>
    <row r="1227" spans="1:15" ht="14.5" customHeight="1" x14ac:dyDescent="0.35">
      <c r="A1227" s="20" t="s">
        <v>2448</v>
      </c>
      <c r="B1227" s="2" t="s">
        <v>2449</v>
      </c>
      <c r="C1227" s="17" t="s">
        <v>3109</v>
      </c>
      <c r="D1227" s="2" t="s">
        <v>588</v>
      </c>
      <c r="E1227" s="15" t="s">
        <v>178</v>
      </c>
      <c r="F1227" t="s">
        <v>170</v>
      </c>
      <c r="G1227" s="2" t="str">
        <f t="shared" si="19"/>
        <v>Small</v>
      </c>
      <c r="H1227" s="3">
        <v>595</v>
      </c>
      <c r="I1227" s="4">
        <v>0.3</v>
      </c>
      <c r="J1227" s="5">
        <v>51503.9731092437</v>
      </c>
      <c r="K1227" s="6">
        <v>1.0363400535894039E-2</v>
      </c>
      <c r="L1227" s="5">
        <v>573.57877310924368</v>
      </c>
      <c r="M1227" s="5">
        <v>511.33781512605043</v>
      </c>
      <c r="N1227" s="11">
        <v>2417.5357142857142</v>
      </c>
      <c r="O1227" s="13">
        <v>2024</v>
      </c>
    </row>
    <row r="1228" spans="1:15" ht="14.5" customHeight="1" x14ac:dyDescent="0.35">
      <c r="A1228" s="20" t="s">
        <v>2450</v>
      </c>
      <c r="B1228" s="2" t="s">
        <v>2451</v>
      </c>
      <c r="C1228" s="17" t="s">
        <v>3109</v>
      </c>
      <c r="D1228" s="2" t="s">
        <v>55</v>
      </c>
      <c r="E1228" s="15" t="s">
        <v>207</v>
      </c>
      <c r="F1228" t="s">
        <v>208</v>
      </c>
      <c r="G1228" s="2" t="str">
        <f t="shared" si="19"/>
        <v>Medium</v>
      </c>
      <c r="H1228" s="3">
        <v>6652</v>
      </c>
      <c r="I1228" s="4">
        <v>2.8</v>
      </c>
      <c r="J1228" s="5">
        <v>307135.7021948286</v>
      </c>
      <c r="K1228" s="6">
        <v>7.8839134674140703E-3</v>
      </c>
      <c r="L1228" s="5">
        <v>2759.830276608539</v>
      </c>
      <c r="M1228" s="5">
        <v>2818.2914912808178</v>
      </c>
      <c r="N1228" s="11">
        <v>4345.6465724594109</v>
      </c>
      <c r="O1228" s="13">
        <v>2024</v>
      </c>
    </row>
    <row r="1229" spans="1:15" ht="14.5" customHeight="1" x14ac:dyDescent="0.35">
      <c r="A1229" s="20" t="s">
        <v>2452</v>
      </c>
      <c r="B1229" s="2" t="s">
        <v>2453</v>
      </c>
      <c r="C1229" s="17" t="s">
        <v>3109</v>
      </c>
      <c r="D1229" s="2" t="s">
        <v>30</v>
      </c>
      <c r="E1229" s="15" t="s">
        <v>273</v>
      </c>
      <c r="F1229" t="s">
        <v>208</v>
      </c>
      <c r="G1229" s="2" t="str">
        <f t="shared" si="19"/>
        <v>Medium</v>
      </c>
      <c r="H1229" s="3">
        <v>4928</v>
      </c>
      <c r="I1229" s="4">
        <v>0.5</v>
      </c>
      <c r="J1229" s="5">
        <v>137277.59395292209</v>
      </c>
      <c r="K1229" s="6">
        <v>4.304115087523438E-3</v>
      </c>
      <c r="L1229" s="5">
        <v>641.78104707792204</v>
      </c>
      <c r="M1229" s="5">
        <v>1904.8062094155844</v>
      </c>
      <c r="N1229" s="11">
        <v>3856.9571834415583</v>
      </c>
      <c r="O1229" s="13">
        <v>2024</v>
      </c>
    </row>
    <row r="1230" spans="1:15" ht="14.5" customHeight="1" x14ac:dyDescent="0.35">
      <c r="A1230" s="20" t="s">
        <v>2454</v>
      </c>
      <c r="B1230" s="2" t="s">
        <v>2455</v>
      </c>
      <c r="C1230" s="17" t="s">
        <v>3109</v>
      </c>
      <c r="D1230" s="2" t="s">
        <v>272</v>
      </c>
      <c r="E1230" s="15" t="s">
        <v>273</v>
      </c>
      <c r="F1230" t="s">
        <v>208</v>
      </c>
      <c r="G1230" s="2" t="str">
        <f t="shared" si="19"/>
        <v>Medium</v>
      </c>
      <c r="H1230" s="3">
        <v>3567</v>
      </c>
      <c r="I1230" s="4">
        <v>2.2000000000000002</v>
      </c>
      <c r="J1230" s="5" t="s">
        <v>27</v>
      </c>
      <c r="K1230" s="6" t="s">
        <v>27</v>
      </c>
      <c r="L1230" s="5">
        <v>0</v>
      </c>
      <c r="M1230" s="5">
        <v>0</v>
      </c>
      <c r="N1230" s="11">
        <v>0</v>
      </c>
      <c r="O1230" s="13">
        <v>2024</v>
      </c>
    </row>
    <row r="1231" spans="1:15" ht="14.5" customHeight="1" x14ac:dyDescent="0.35">
      <c r="A1231" s="20" t="s">
        <v>2456</v>
      </c>
      <c r="B1231" s="2" t="s">
        <v>2457</v>
      </c>
      <c r="C1231" s="17" t="s">
        <v>3109</v>
      </c>
      <c r="D1231" s="2" t="s">
        <v>324</v>
      </c>
      <c r="E1231" s="15" t="s">
        <v>207</v>
      </c>
      <c r="F1231" t="s">
        <v>208</v>
      </c>
      <c r="G1231" s="2" t="str">
        <f t="shared" si="19"/>
        <v>Small</v>
      </c>
      <c r="H1231" s="3">
        <v>368</v>
      </c>
      <c r="I1231" s="4">
        <v>0.4</v>
      </c>
      <c r="J1231" s="5">
        <v>103880.99184782608</v>
      </c>
      <c r="K1231" s="6">
        <v>4.4522100893829575E-3</v>
      </c>
      <c r="L1231" s="5">
        <v>497.23097826086956</v>
      </c>
      <c r="M1231" s="5">
        <v>217.39130434782609</v>
      </c>
      <c r="N1231" s="11">
        <v>1451.7065217391305</v>
      </c>
      <c r="O1231" s="13">
        <v>2024</v>
      </c>
    </row>
    <row r="1232" spans="1:15" ht="14.5" customHeight="1" x14ac:dyDescent="0.35">
      <c r="A1232" s="20" t="s">
        <v>2458</v>
      </c>
      <c r="B1232" s="2" t="s">
        <v>2459</v>
      </c>
      <c r="C1232" s="17" t="s">
        <v>3109</v>
      </c>
      <c r="D1232" s="2" t="s">
        <v>11</v>
      </c>
      <c r="E1232" s="15" t="s">
        <v>173</v>
      </c>
      <c r="F1232" t="s">
        <v>170</v>
      </c>
      <c r="G1232" s="2" t="str">
        <f t="shared" si="19"/>
        <v>Large</v>
      </c>
      <c r="H1232" s="3">
        <v>15343</v>
      </c>
      <c r="I1232" s="4">
        <v>4.5</v>
      </c>
      <c r="J1232" s="5">
        <v>47604.879228312588</v>
      </c>
      <c r="K1232" s="6">
        <v>1.507289286535057E-2</v>
      </c>
      <c r="L1232" s="5">
        <v>1111.9859219187904</v>
      </c>
      <c r="M1232" s="5">
        <v>8318.6807012970075</v>
      </c>
      <c r="N1232" s="11">
        <v>3224.3718308023203</v>
      </c>
      <c r="O1232" s="13">
        <v>2024</v>
      </c>
    </row>
    <row r="1233" spans="1:15" ht="14.5" customHeight="1" x14ac:dyDescent="0.35">
      <c r="A1233" s="20" t="s">
        <v>2460</v>
      </c>
      <c r="B1233" s="2" t="s">
        <v>2461</v>
      </c>
      <c r="C1233" s="17" t="s">
        <v>3109</v>
      </c>
      <c r="D1233" s="2" t="s">
        <v>89</v>
      </c>
      <c r="E1233" s="15" t="s">
        <v>183</v>
      </c>
      <c r="F1233" t="s">
        <v>170</v>
      </c>
      <c r="G1233" s="2" t="str">
        <f t="shared" si="19"/>
        <v>Medium</v>
      </c>
      <c r="H1233" s="3">
        <v>1192</v>
      </c>
      <c r="I1233" s="4">
        <v>1.2</v>
      </c>
      <c r="J1233" s="5">
        <v>50188.704697986577</v>
      </c>
      <c r="K1233" s="6">
        <v>7.4927827753965334E-3</v>
      </c>
      <c r="L1233" s="5">
        <v>572.04311241610742</v>
      </c>
      <c r="M1233" s="5">
        <v>912.38913590604034</v>
      </c>
      <c r="N1233" s="11">
        <v>1819.9889345637584</v>
      </c>
      <c r="O1233" s="13">
        <v>2024</v>
      </c>
    </row>
    <row r="1234" spans="1:15" ht="14.5" customHeight="1" x14ac:dyDescent="0.35">
      <c r="A1234" s="20" t="s">
        <v>2462</v>
      </c>
      <c r="B1234" s="2" t="s">
        <v>2463</v>
      </c>
      <c r="C1234" s="17" t="s">
        <v>3109</v>
      </c>
      <c r="D1234" s="2" t="s">
        <v>513</v>
      </c>
      <c r="E1234" s="15" t="s">
        <v>207</v>
      </c>
      <c r="F1234" t="s">
        <v>208</v>
      </c>
      <c r="G1234" s="2" t="str">
        <f t="shared" si="19"/>
        <v>Medium</v>
      </c>
      <c r="H1234" s="3">
        <v>5491</v>
      </c>
      <c r="I1234" s="4">
        <v>0.2</v>
      </c>
      <c r="J1234" s="5">
        <v>31058.773993808049</v>
      </c>
      <c r="K1234" s="6">
        <v>3.4595232959842419E-4</v>
      </c>
      <c r="L1234" s="5">
        <v>55.986705518120559</v>
      </c>
      <c r="M1234" s="5">
        <v>79.459114915315965</v>
      </c>
      <c r="N1234" s="11">
        <v>1403.3259879803315</v>
      </c>
      <c r="O1234" s="13">
        <v>2024</v>
      </c>
    </row>
    <row r="1235" spans="1:15" ht="14.5" customHeight="1" x14ac:dyDescent="0.35">
      <c r="A1235" s="20" t="s">
        <v>2464</v>
      </c>
      <c r="B1235" s="2" t="s">
        <v>2465</v>
      </c>
      <c r="C1235" s="17" t="s">
        <v>3109</v>
      </c>
      <c r="D1235" s="2" t="s">
        <v>13</v>
      </c>
      <c r="E1235" s="15" t="s">
        <v>186</v>
      </c>
      <c r="F1235" t="s">
        <v>170</v>
      </c>
      <c r="G1235" s="2" t="str">
        <f t="shared" si="19"/>
        <v>Large</v>
      </c>
      <c r="H1235" s="3">
        <v>15205</v>
      </c>
      <c r="I1235" s="4">
        <v>1.4</v>
      </c>
      <c r="J1235" s="5">
        <v>64719.053403485697</v>
      </c>
      <c r="K1235" s="6">
        <v>1.1090260081841285E-2</v>
      </c>
      <c r="L1235" s="5">
        <v>884.55685629727066</v>
      </c>
      <c r="M1235" s="5">
        <v>2080.3301545544227</v>
      </c>
      <c r="N1235" s="11">
        <v>1540.3934232160473</v>
      </c>
      <c r="O1235" s="13">
        <v>2024</v>
      </c>
    </row>
    <row r="1236" spans="1:15" ht="14.5" customHeight="1" x14ac:dyDescent="0.35">
      <c r="A1236" s="20" t="s">
        <v>2466</v>
      </c>
      <c r="B1236" s="2" t="s">
        <v>2467</v>
      </c>
      <c r="C1236" s="17" t="s">
        <v>3109</v>
      </c>
      <c r="D1236" s="2" t="s">
        <v>30</v>
      </c>
      <c r="E1236" s="15" t="s">
        <v>273</v>
      </c>
      <c r="F1236" t="s">
        <v>208</v>
      </c>
      <c r="G1236" s="2" t="str">
        <f t="shared" si="19"/>
        <v>Medium</v>
      </c>
      <c r="H1236" s="3">
        <v>1226</v>
      </c>
      <c r="I1236" s="4">
        <v>0.3</v>
      </c>
      <c r="J1236" s="5">
        <v>515675.25040783035</v>
      </c>
      <c r="K1236" s="6">
        <v>5.9459029168168528E-3</v>
      </c>
      <c r="L1236" s="5">
        <v>3113.6623164763459</v>
      </c>
      <c r="M1236" s="5">
        <v>411.90864600326262</v>
      </c>
      <c r="N1236" s="11">
        <v>3602.4061990212072</v>
      </c>
      <c r="O1236" s="13">
        <v>2024</v>
      </c>
    </row>
    <row r="1237" spans="1:15" ht="14.5" customHeight="1" x14ac:dyDescent="0.35">
      <c r="A1237" s="20" t="s">
        <v>2468</v>
      </c>
      <c r="B1237" s="2" t="s">
        <v>2469</v>
      </c>
      <c r="C1237" s="17" t="s">
        <v>3109</v>
      </c>
      <c r="D1237" s="2" t="s">
        <v>37</v>
      </c>
      <c r="E1237" s="15" t="s">
        <v>217</v>
      </c>
      <c r="F1237" t="s">
        <v>170</v>
      </c>
      <c r="G1237" s="2" t="str">
        <f t="shared" si="19"/>
        <v>Medium</v>
      </c>
      <c r="H1237" s="3">
        <v>1170</v>
      </c>
      <c r="I1237" s="4">
        <v>2.1</v>
      </c>
      <c r="J1237" s="5">
        <v>180276.81025641024</v>
      </c>
      <c r="K1237" s="6">
        <v>1.8110231128513157E-3</v>
      </c>
      <c r="L1237" s="5">
        <v>739.58344444444447</v>
      </c>
      <c r="M1237" s="5">
        <v>697.43589743589746</v>
      </c>
      <c r="N1237" s="11">
        <v>1825.0988376068376</v>
      </c>
      <c r="O1237" s="13">
        <v>2024</v>
      </c>
    </row>
    <row r="1238" spans="1:15" ht="14.5" customHeight="1" x14ac:dyDescent="0.35">
      <c r="A1238" s="20" t="s">
        <v>2470</v>
      </c>
      <c r="B1238" s="2" t="s">
        <v>2471</v>
      </c>
      <c r="C1238" s="17" t="s">
        <v>3109</v>
      </c>
      <c r="D1238" s="2" t="s">
        <v>30</v>
      </c>
      <c r="E1238" s="15" t="s">
        <v>273</v>
      </c>
      <c r="F1238" t="s">
        <v>208</v>
      </c>
      <c r="G1238" s="2" t="str">
        <f t="shared" si="19"/>
        <v>Medium</v>
      </c>
      <c r="H1238" s="3">
        <v>5619</v>
      </c>
      <c r="I1238" s="4">
        <v>3.4</v>
      </c>
      <c r="J1238" s="5">
        <v>840441.59832710447</v>
      </c>
      <c r="K1238" s="6">
        <v>3.0944875636942292E-3</v>
      </c>
      <c r="L1238" s="5">
        <v>2728.6931838405412</v>
      </c>
      <c r="M1238" s="5">
        <v>2722.9044313934864</v>
      </c>
      <c r="N1238" s="11">
        <v>3356.2315358604733</v>
      </c>
      <c r="O1238" s="13">
        <v>2024</v>
      </c>
    </row>
    <row r="1239" spans="1:15" ht="14.5" customHeight="1" x14ac:dyDescent="0.35">
      <c r="A1239" s="20" t="s">
        <v>2472</v>
      </c>
      <c r="B1239" s="2" t="s">
        <v>2473</v>
      </c>
      <c r="C1239" s="17" t="s">
        <v>3109</v>
      </c>
      <c r="D1239" s="2" t="s">
        <v>53</v>
      </c>
      <c r="E1239" s="15" t="s">
        <v>207</v>
      </c>
      <c r="F1239" t="s">
        <v>208</v>
      </c>
      <c r="G1239" s="2" t="str">
        <f t="shared" si="19"/>
        <v>Large</v>
      </c>
      <c r="H1239" s="3">
        <v>32954</v>
      </c>
      <c r="I1239" s="4">
        <v>1.1000000000000001</v>
      </c>
      <c r="J1239" s="5">
        <v>38635.772836818476</v>
      </c>
      <c r="K1239" s="6">
        <v>2.5079632649182208E-3</v>
      </c>
      <c r="L1239" s="5">
        <v>318.54293864174304</v>
      </c>
      <c r="M1239" s="5">
        <v>2080.6418340717364</v>
      </c>
      <c r="N1239" s="11">
        <v>1309.7088972507131</v>
      </c>
      <c r="O1239" s="13">
        <v>2024</v>
      </c>
    </row>
    <row r="1240" spans="1:15" ht="14.5" customHeight="1" x14ac:dyDescent="0.35">
      <c r="A1240" s="20" t="s">
        <v>2474</v>
      </c>
      <c r="B1240" s="2" t="s">
        <v>2475</v>
      </c>
      <c r="C1240" s="17" t="s">
        <v>3109</v>
      </c>
      <c r="D1240" s="2" t="s">
        <v>26</v>
      </c>
      <c r="E1240" s="15" t="s">
        <v>183</v>
      </c>
      <c r="F1240" t="s">
        <v>170</v>
      </c>
      <c r="G1240" s="2" t="str">
        <f t="shared" si="19"/>
        <v>Small</v>
      </c>
      <c r="H1240" s="3">
        <v>657</v>
      </c>
      <c r="I1240" s="4">
        <v>1.1000000000000001</v>
      </c>
      <c r="J1240" s="5">
        <v>37387.106544901064</v>
      </c>
      <c r="K1240" s="6" t="s">
        <v>27</v>
      </c>
      <c r="L1240" s="5">
        <v>0</v>
      </c>
      <c r="M1240" s="5">
        <v>0</v>
      </c>
      <c r="N1240" s="11">
        <v>0</v>
      </c>
      <c r="O1240" s="13">
        <v>2024</v>
      </c>
    </row>
    <row r="1241" spans="1:15" ht="14.5" customHeight="1" x14ac:dyDescent="0.35">
      <c r="A1241" s="20" t="s">
        <v>2476</v>
      </c>
      <c r="B1241" s="2" t="s">
        <v>2477</v>
      </c>
      <c r="C1241" s="17" t="s">
        <v>3109</v>
      </c>
      <c r="D1241" s="2" t="s">
        <v>32</v>
      </c>
      <c r="E1241" s="15" t="s">
        <v>217</v>
      </c>
      <c r="F1241" t="s">
        <v>170</v>
      </c>
      <c r="G1241" s="2" t="str">
        <f t="shared" si="19"/>
        <v>Medium</v>
      </c>
      <c r="H1241" s="3">
        <v>1008</v>
      </c>
      <c r="I1241" s="4">
        <v>0.6</v>
      </c>
      <c r="J1241" s="5">
        <v>293929.77380952379</v>
      </c>
      <c r="K1241" s="6">
        <v>3.7787039969311318E-3</v>
      </c>
      <c r="L1241" s="5">
        <v>2341.6021825396824</v>
      </c>
      <c r="M1241" s="5">
        <v>13220.935773809524</v>
      </c>
      <c r="N1241" s="11">
        <v>6617.2754265873018</v>
      </c>
      <c r="O1241" s="13">
        <v>2024</v>
      </c>
    </row>
    <row r="1242" spans="1:15" ht="14.5" customHeight="1" x14ac:dyDescent="0.35">
      <c r="A1242" s="20" t="s">
        <v>2478</v>
      </c>
      <c r="B1242" s="2" t="s">
        <v>2479</v>
      </c>
      <c r="C1242" s="17" t="s">
        <v>3109</v>
      </c>
      <c r="D1242" s="2" t="s">
        <v>272</v>
      </c>
      <c r="E1242" s="15" t="s">
        <v>273</v>
      </c>
      <c r="F1242" t="s">
        <v>208</v>
      </c>
      <c r="G1242" s="2" t="str">
        <f t="shared" si="19"/>
        <v>Large</v>
      </c>
      <c r="H1242" s="3">
        <v>11072</v>
      </c>
      <c r="I1242" s="4">
        <v>3</v>
      </c>
      <c r="J1242" s="5">
        <v>187846.16130780347</v>
      </c>
      <c r="K1242" s="6">
        <v>1.2162646555333655E-3</v>
      </c>
      <c r="L1242" s="5">
        <v>270.26282514450867</v>
      </c>
      <c r="M1242" s="5">
        <v>0</v>
      </c>
      <c r="N1242" s="11">
        <v>626.14739523121386</v>
      </c>
      <c r="O1242" s="13">
        <v>2024</v>
      </c>
    </row>
    <row r="1243" spans="1:15" ht="14.5" customHeight="1" x14ac:dyDescent="0.35">
      <c r="A1243" s="20" t="s">
        <v>2480</v>
      </c>
      <c r="B1243" s="2" t="s">
        <v>2481</v>
      </c>
      <c r="C1243" s="17" t="s">
        <v>3109</v>
      </c>
      <c r="D1243" s="2" t="s">
        <v>496</v>
      </c>
      <c r="E1243" s="15" t="s">
        <v>169</v>
      </c>
      <c r="F1243" t="s">
        <v>170</v>
      </c>
      <c r="G1243" s="2" t="str">
        <f t="shared" si="19"/>
        <v>Medium</v>
      </c>
      <c r="H1243" s="3">
        <v>2205</v>
      </c>
      <c r="I1243" s="4">
        <v>1.4</v>
      </c>
      <c r="J1243" s="5">
        <v>409336.93015873013</v>
      </c>
      <c r="K1243" s="6" t="s">
        <v>27</v>
      </c>
      <c r="L1243" s="5">
        <v>0</v>
      </c>
      <c r="M1243" s="5">
        <v>0</v>
      </c>
      <c r="N1243" s="11">
        <v>0</v>
      </c>
      <c r="O1243" s="13">
        <v>2024</v>
      </c>
    </row>
    <row r="1244" spans="1:15" ht="14.5" customHeight="1" x14ac:dyDescent="0.35">
      <c r="A1244" s="20" t="s">
        <v>2482</v>
      </c>
      <c r="B1244" s="2" t="s">
        <v>2483</v>
      </c>
      <c r="C1244" s="17" t="s">
        <v>3109</v>
      </c>
      <c r="D1244" s="2" t="s">
        <v>30</v>
      </c>
      <c r="E1244" s="15" t="s">
        <v>273</v>
      </c>
      <c r="F1244" t="s">
        <v>208</v>
      </c>
      <c r="G1244" s="2" t="str">
        <f t="shared" si="19"/>
        <v>Medium</v>
      </c>
      <c r="H1244" s="3">
        <v>2828</v>
      </c>
      <c r="I1244" s="4">
        <v>1.9</v>
      </c>
      <c r="J1244" s="5">
        <v>598180.89321074961</v>
      </c>
      <c r="K1244" s="6">
        <v>6.5315175394279994E-3</v>
      </c>
      <c r="L1244" s="5">
        <v>4559.435289957567</v>
      </c>
      <c r="M1244" s="5">
        <v>897.3564356435644</v>
      </c>
      <c r="N1244" s="11">
        <v>8364.9879773691646</v>
      </c>
      <c r="O1244" s="13">
        <v>2024</v>
      </c>
    </row>
    <row r="1245" spans="1:15" ht="14.5" customHeight="1" x14ac:dyDescent="0.35">
      <c r="A1245" s="20" t="s">
        <v>2484</v>
      </c>
      <c r="B1245" s="2" t="s">
        <v>2485</v>
      </c>
      <c r="C1245" s="17" t="s">
        <v>3109</v>
      </c>
      <c r="D1245" s="2" t="s">
        <v>22</v>
      </c>
      <c r="E1245" s="15" t="s">
        <v>186</v>
      </c>
      <c r="F1245" t="s">
        <v>170</v>
      </c>
      <c r="G1245" s="2" t="str">
        <f t="shared" si="19"/>
        <v>Medium</v>
      </c>
      <c r="H1245" s="3">
        <v>3002</v>
      </c>
      <c r="I1245" s="4">
        <v>2</v>
      </c>
      <c r="J1245" s="5">
        <v>100393.86142571618</v>
      </c>
      <c r="K1245" s="6">
        <v>6.4863651680331195E-3</v>
      </c>
      <c r="L1245" s="5">
        <v>1020.0341972018655</v>
      </c>
      <c r="M1245" s="5">
        <v>47.971492338441045</v>
      </c>
      <c r="N1245" s="11">
        <v>1471.7702998001334</v>
      </c>
      <c r="O1245" s="13">
        <v>2024</v>
      </c>
    </row>
    <row r="1246" spans="1:15" ht="14.5" customHeight="1" x14ac:dyDescent="0.35">
      <c r="A1246" s="20" t="s">
        <v>2486</v>
      </c>
      <c r="B1246" s="2" t="s">
        <v>2487</v>
      </c>
      <c r="C1246" s="17" t="s">
        <v>3109</v>
      </c>
      <c r="D1246" s="2" t="s">
        <v>13</v>
      </c>
      <c r="E1246" s="15" t="s">
        <v>186</v>
      </c>
      <c r="F1246" t="s">
        <v>170</v>
      </c>
      <c r="G1246" s="2" t="str">
        <f t="shared" si="19"/>
        <v>Medium</v>
      </c>
      <c r="H1246" s="3">
        <v>10027</v>
      </c>
      <c r="I1246" s="4">
        <v>2.7</v>
      </c>
      <c r="J1246" s="5">
        <v>74302.482696718856</v>
      </c>
      <c r="K1246" s="6">
        <v>6.6700983449287212E-3</v>
      </c>
      <c r="L1246" s="5">
        <v>667.98823177420968</v>
      </c>
      <c r="M1246" s="5">
        <v>351.05215917024037</v>
      </c>
      <c r="N1246" s="11">
        <v>1183.3920414879824</v>
      </c>
      <c r="O1246" s="13">
        <v>2024</v>
      </c>
    </row>
    <row r="1247" spans="1:15" ht="14.5" customHeight="1" x14ac:dyDescent="0.35">
      <c r="A1247" s="20" t="s">
        <v>2488</v>
      </c>
      <c r="B1247" s="2" t="s">
        <v>2489</v>
      </c>
      <c r="C1247" s="17" t="s">
        <v>3109</v>
      </c>
      <c r="D1247" s="2" t="s">
        <v>39</v>
      </c>
      <c r="E1247" s="15" t="s">
        <v>173</v>
      </c>
      <c r="F1247" t="s">
        <v>170</v>
      </c>
      <c r="G1247" s="2" t="str">
        <f t="shared" si="19"/>
        <v>Medium</v>
      </c>
      <c r="H1247" s="3">
        <v>3648</v>
      </c>
      <c r="I1247" s="4">
        <v>4.5999999999999996</v>
      </c>
      <c r="J1247" s="5">
        <v>163286.28618421053</v>
      </c>
      <c r="K1247" s="6">
        <v>1.5000000033575729E-3</v>
      </c>
      <c r="L1247" s="5">
        <v>524.34338541666659</v>
      </c>
      <c r="M1247" s="5">
        <v>0</v>
      </c>
      <c r="N1247" s="11">
        <v>1886.194375</v>
      </c>
      <c r="O1247" s="13">
        <v>2024</v>
      </c>
    </row>
    <row r="1248" spans="1:15" ht="14.5" customHeight="1" x14ac:dyDescent="0.35">
      <c r="A1248" s="20" t="s">
        <v>2490</v>
      </c>
      <c r="B1248" s="2" t="s">
        <v>2491</v>
      </c>
      <c r="C1248" s="17" t="s">
        <v>3109</v>
      </c>
      <c r="D1248" s="2" t="s">
        <v>55</v>
      </c>
      <c r="E1248" s="15" t="s">
        <v>207</v>
      </c>
      <c r="F1248" t="s">
        <v>208</v>
      </c>
      <c r="G1248" s="2" t="str">
        <f t="shared" si="19"/>
        <v>Medium</v>
      </c>
      <c r="H1248" s="3">
        <v>6630</v>
      </c>
      <c r="I1248" s="4">
        <v>1.1000000000000001</v>
      </c>
      <c r="J1248" s="5">
        <v>493551.97149321268</v>
      </c>
      <c r="K1248" s="6">
        <v>4.9099830717037937E-3</v>
      </c>
      <c r="L1248" s="5">
        <v>2717.0179487179489</v>
      </c>
      <c r="M1248" s="5">
        <v>834.69079939668177</v>
      </c>
      <c r="N1248" s="11">
        <v>4651.3085972850677</v>
      </c>
      <c r="O1248" s="13">
        <v>2024</v>
      </c>
    </row>
    <row r="1249" spans="1:15" ht="14.5" customHeight="1" x14ac:dyDescent="0.35">
      <c r="A1249" s="20" t="s">
        <v>2492</v>
      </c>
      <c r="B1249" s="2" t="s">
        <v>2493</v>
      </c>
      <c r="C1249" s="17" t="s">
        <v>3109</v>
      </c>
      <c r="D1249" s="2" t="s">
        <v>30</v>
      </c>
      <c r="E1249" s="15" t="s">
        <v>273</v>
      </c>
      <c r="F1249" t="s">
        <v>208</v>
      </c>
      <c r="G1249" s="2" t="str">
        <f t="shared" si="19"/>
        <v>Medium</v>
      </c>
      <c r="H1249" s="3">
        <v>1881</v>
      </c>
      <c r="I1249" s="4">
        <v>3.8</v>
      </c>
      <c r="J1249" s="5">
        <v>613465.06007442845</v>
      </c>
      <c r="K1249" s="6">
        <v>6.4942279255885977E-4</v>
      </c>
      <c r="L1249" s="5">
        <v>450.23285486443382</v>
      </c>
      <c r="M1249" s="5">
        <v>0</v>
      </c>
      <c r="N1249" s="11">
        <v>731.47846889952154</v>
      </c>
      <c r="O1249" s="13">
        <v>2024</v>
      </c>
    </row>
    <row r="1250" spans="1:15" ht="14.5" customHeight="1" x14ac:dyDescent="0.35">
      <c r="A1250" s="20" t="s">
        <v>2494</v>
      </c>
      <c r="B1250" s="2" t="s">
        <v>2495</v>
      </c>
      <c r="C1250" s="17" t="s">
        <v>3109</v>
      </c>
      <c r="D1250" s="2" t="s">
        <v>30</v>
      </c>
      <c r="E1250" s="15" t="s">
        <v>273</v>
      </c>
      <c r="F1250" t="s">
        <v>208</v>
      </c>
      <c r="G1250" s="2" t="str">
        <f t="shared" si="19"/>
        <v>Medium</v>
      </c>
      <c r="H1250" s="3">
        <v>1940</v>
      </c>
      <c r="I1250" s="4">
        <v>3</v>
      </c>
      <c r="J1250" s="5">
        <v>313413.98195876286</v>
      </c>
      <c r="K1250" s="6">
        <v>4.7088505063027008E-3</v>
      </c>
      <c r="L1250" s="5">
        <v>1659.7778350515464</v>
      </c>
      <c r="M1250" s="5">
        <v>1034.5417525773196</v>
      </c>
      <c r="N1250" s="11">
        <v>2261.2896907216495</v>
      </c>
      <c r="O1250" s="13">
        <v>2024</v>
      </c>
    </row>
    <row r="1251" spans="1:15" ht="14.5" customHeight="1" x14ac:dyDescent="0.35">
      <c r="A1251" s="20" t="s">
        <v>2496</v>
      </c>
      <c r="B1251" s="2" t="s">
        <v>2497</v>
      </c>
      <c r="C1251" s="17" t="s">
        <v>3109</v>
      </c>
      <c r="D1251" s="2" t="s">
        <v>69</v>
      </c>
      <c r="E1251" s="15" t="s">
        <v>173</v>
      </c>
      <c r="F1251" t="s">
        <v>170</v>
      </c>
      <c r="G1251" s="2" t="str">
        <f t="shared" si="19"/>
        <v>Small</v>
      </c>
      <c r="H1251" s="3">
        <v>185</v>
      </c>
      <c r="I1251" s="4">
        <v>0.1</v>
      </c>
      <c r="J1251" s="5">
        <v>56422.821621621624</v>
      </c>
      <c r="K1251" s="6">
        <v>8.4113942010430505E-4</v>
      </c>
      <c r="L1251" s="5">
        <v>118.94799999999998</v>
      </c>
      <c r="M1251" s="5">
        <v>4405.405405405405</v>
      </c>
      <c r="N1251" s="11">
        <v>961.39632432432438</v>
      </c>
      <c r="O1251" s="13">
        <v>2024</v>
      </c>
    </row>
    <row r="1252" spans="1:15" ht="14.5" customHeight="1" x14ac:dyDescent="0.35">
      <c r="A1252" s="20" t="s">
        <v>2498</v>
      </c>
      <c r="B1252" s="2" t="s">
        <v>2499</v>
      </c>
      <c r="C1252" s="17" t="s">
        <v>3109</v>
      </c>
      <c r="D1252" s="2" t="s">
        <v>30</v>
      </c>
      <c r="E1252" s="15" t="s">
        <v>273</v>
      </c>
      <c r="F1252" t="s">
        <v>208</v>
      </c>
      <c r="G1252" s="2" t="str">
        <f t="shared" si="19"/>
        <v>Medium</v>
      </c>
      <c r="H1252" s="3">
        <v>6809</v>
      </c>
      <c r="I1252" s="4">
        <v>3.7</v>
      </c>
      <c r="J1252" s="5">
        <v>393930.4188573946</v>
      </c>
      <c r="K1252" s="6" t="s">
        <v>27</v>
      </c>
      <c r="L1252" s="5">
        <v>0</v>
      </c>
      <c r="M1252" s="5">
        <v>0</v>
      </c>
      <c r="N1252" s="11">
        <v>0</v>
      </c>
      <c r="O1252" s="13">
        <v>2024</v>
      </c>
    </row>
    <row r="1253" spans="1:15" ht="14.5" customHeight="1" x14ac:dyDescent="0.35">
      <c r="A1253" s="20" t="s">
        <v>2500</v>
      </c>
      <c r="B1253" s="2" t="s">
        <v>2501</v>
      </c>
      <c r="C1253" s="17" t="s">
        <v>3109</v>
      </c>
      <c r="D1253" s="2" t="s">
        <v>7</v>
      </c>
      <c r="E1253" s="15" t="s">
        <v>178</v>
      </c>
      <c r="F1253" t="s">
        <v>170</v>
      </c>
      <c r="G1253" s="2" t="str">
        <f t="shared" ref="G1253:G1316" si="20">IF(H1253&lt;=1000,"Small",IF(H1253&lt;=11000,"Medium",IF(H1253&gt;=11000,"Large")))</f>
        <v>Medium</v>
      </c>
      <c r="H1253" s="3">
        <v>4300</v>
      </c>
      <c r="I1253" s="4">
        <v>2.7</v>
      </c>
      <c r="J1253" s="5">
        <v>51115.740232558142</v>
      </c>
      <c r="K1253" s="6">
        <v>8.88369692231924E-3</v>
      </c>
      <c r="L1253" s="5">
        <v>667.04767441860463</v>
      </c>
      <c r="M1253" s="5">
        <v>1970.3451162790698</v>
      </c>
      <c r="N1253" s="11">
        <v>1166.4358139534884</v>
      </c>
      <c r="O1253" s="13">
        <v>2024</v>
      </c>
    </row>
    <row r="1254" spans="1:15" ht="14.5" customHeight="1" x14ac:dyDescent="0.35">
      <c r="A1254" s="20" t="s">
        <v>2502</v>
      </c>
      <c r="B1254" s="2" t="s">
        <v>2503</v>
      </c>
      <c r="C1254" s="17" t="s">
        <v>3109</v>
      </c>
      <c r="D1254" s="2" t="s">
        <v>269</v>
      </c>
      <c r="E1254" s="15" t="s">
        <v>178</v>
      </c>
      <c r="F1254" t="s">
        <v>170</v>
      </c>
      <c r="G1254" s="2" t="str">
        <f t="shared" si="20"/>
        <v>Small</v>
      </c>
      <c r="H1254" s="3">
        <v>440</v>
      </c>
      <c r="I1254" s="4">
        <v>0.4</v>
      </c>
      <c r="J1254" s="5">
        <v>61814.18409090909</v>
      </c>
      <c r="K1254" s="6">
        <v>1.3309665871406903E-3</v>
      </c>
      <c r="L1254" s="5">
        <v>141.52527272727272</v>
      </c>
      <c r="M1254" s="5">
        <v>0</v>
      </c>
      <c r="N1254" s="11">
        <v>982.70011363636365</v>
      </c>
      <c r="O1254" s="13">
        <v>2024</v>
      </c>
    </row>
    <row r="1255" spans="1:15" ht="14.5" customHeight="1" x14ac:dyDescent="0.35">
      <c r="A1255" s="20" t="s">
        <v>2504</v>
      </c>
      <c r="B1255" s="2" t="s">
        <v>2505</v>
      </c>
      <c r="C1255" s="17" t="s">
        <v>3109</v>
      </c>
      <c r="D1255" s="2" t="s">
        <v>48</v>
      </c>
      <c r="E1255" s="15" t="s">
        <v>186</v>
      </c>
      <c r="F1255" t="s">
        <v>170</v>
      </c>
      <c r="G1255" s="2" t="str">
        <f t="shared" si="20"/>
        <v>Medium</v>
      </c>
      <c r="H1255" s="3">
        <v>2531</v>
      </c>
      <c r="I1255" s="4">
        <v>1.1000000000000001</v>
      </c>
      <c r="J1255" s="5">
        <v>119193.40616357171</v>
      </c>
      <c r="K1255" s="6">
        <v>4.3055204551841605E-3</v>
      </c>
      <c r="L1255" s="5">
        <v>990.25246937969177</v>
      </c>
      <c r="M1255" s="5">
        <v>865.89371789806398</v>
      </c>
      <c r="N1255" s="11">
        <v>2170.0774397471355</v>
      </c>
      <c r="O1255" s="13">
        <v>2024</v>
      </c>
    </row>
    <row r="1256" spans="1:15" ht="14.5" customHeight="1" x14ac:dyDescent="0.35">
      <c r="A1256" s="20" t="s">
        <v>2506</v>
      </c>
      <c r="B1256" s="2" t="s">
        <v>2507</v>
      </c>
      <c r="C1256" s="17" t="s">
        <v>3109</v>
      </c>
      <c r="D1256" s="2" t="s">
        <v>324</v>
      </c>
      <c r="E1256" s="15" t="s">
        <v>207</v>
      </c>
      <c r="F1256" t="s">
        <v>208</v>
      </c>
      <c r="G1256" s="2" t="str">
        <f t="shared" si="20"/>
        <v>Medium</v>
      </c>
      <c r="H1256" s="3">
        <v>4700</v>
      </c>
      <c r="I1256" s="4">
        <v>2.6</v>
      </c>
      <c r="J1256" s="5">
        <v>45230.530425531913</v>
      </c>
      <c r="K1256" s="6">
        <v>1.5967735556965377E-2</v>
      </c>
      <c r="L1256" s="5">
        <v>1011.2506382978723</v>
      </c>
      <c r="M1256" s="5">
        <v>2726.548936170213</v>
      </c>
      <c r="N1256" s="11">
        <v>2743.3893617021276</v>
      </c>
      <c r="O1256" s="13">
        <v>2024</v>
      </c>
    </row>
    <row r="1257" spans="1:15" ht="14.5" customHeight="1" x14ac:dyDescent="0.35">
      <c r="A1257" s="20" t="s">
        <v>2508</v>
      </c>
      <c r="B1257" s="2" t="s">
        <v>2509</v>
      </c>
      <c r="C1257" s="17" t="s">
        <v>3109</v>
      </c>
      <c r="D1257" s="2" t="s">
        <v>269</v>
      </c>
      <c r="E1257" s="15" t="s">
        <v>178</v>
      </c>
      <c r="F1257" t="s">
        <v>170</v>
      </c>
      <c r="G1257" s="2" t="str">
        <f t="shared" si="20"/>
        <v>Medium</v>
      </c>
      <c r="H1257" s="3">
        <v>2094</v>
      </c>
      <c r="I1257" s="4">
        <v>1.4</v>
      </c>
      <c r="J1257" s="5">
        <v>58938.255491881566</v>
      </c>
      <c r="K1257" s="6">
        <v>4.8979835444807321E-3</v>
      </c>
      <c r="L1257" s="5">
        <v>327.01757402101236</v>
      </c>
      <c r="M1257" s="5">
        <v>2654.233170964661</v>
      </c>
      <c r="N1257" s="11">
        <v>1072.0055300859599</v>
      </c>
      <c r="O1257" s="13">
        <v>2024</v>
      </c>
    </row>
    <row r="1258" spans="1:15" ht="14.5" customHeight="1" x14ac:dyDescent="0.35">
      <c r="A1258" s="20" t="s">
        <v>2510</v>
      </c>
      <c r="B1258" s="2" t="s">
        <v>2511</v>
      </c>
      <c r="C1258" s="17" t="s">
        <v>3109</v>
      </c>
      <c r="D1258" s="2" t="s">
        <v>272</v>
      </c>
      <c r="E1258" s="15" t="s">
        <v>273</v>
      </c>
      <c r="F1258" t="s">
        <v>208</v>
      </c>
      <c r="G1258" s="2" t="str">
        <f t="shared" si="20"/>
        <v>Large</v>
      </c>
      <c r="H1258" s="3">
        <v>27148</v>
      </c>
      <c r="I1258" s="4">
        <v>3.8</v>
      </c>
      <c r="J1258" s="5">
        <v>144874.12277147488</v>
      </c>
      <c r="K1258" s="6">
        <v>2.3374884882542278E-3</v>
      </c>
      <c r="L1258" s="5">
        <v>378.28455134816562</v>
      </c>
      <c r="M1258" s="5">
        <v>473.49278031530866</v>
      </c>
      <c r="N1258" s="11">
        <v>790.3306320907617</v>
      </c>
      <c r="O1258" s="13">
        <v>2024</v>
      </c>
    </row>
    <row r="1259" spans="1:15" ht="14.5" customHeight="1" x14ac:dyDescent="0.35">
      <c r="A1259" s="20" t="s">
        <v>2512</v>
      </c>
      <c r="B1259" s="2" t="s">
        <v>2513</v>
      </c>
      <c r="C1259" s="17" t="s">
        <v>3109</v>
      </c>
      <c r="D1259" s="2" t="s">
        <v>11</v>
      </c>
      <c r="E1259" s="15" t="s">
        <v>173</v>
      </c>
      <c r="F1259" t="s">
        <v>170</v>
      </c>
      <c r="G1259" s="2" t="str">
        <f t="shared" si="20"/>
        <v>Small</v>
      </c>
      <c r="H1259" s="3">
        <v>348</v>
      </c>
      <c r="I1259" s="4">
        <v>0.9</v>
      </c>
      <c r="J1259" s="5">
        <v>31201.071839080461</v>
      </c>
      <c r="K1259" s="6" t="s">
        <v>27</v>
      </c>
      <c r="L1259" s="5">
        <v>0</v>
      </c>
      <c r="M1259" s="5">
        <v>0</v>
      </c>
      <c r="N1259" s="11">
        <v>0</v>
      </c>
      <c r="O1259" s="13">
        <v>2024</v>
      </c>
    </row>
    <row r="1260" spans="1:15" ht="14.5" customHeight="1" x14ac:dyDescent="0.35">
      <c r="A1260" s="20" t="s">
        <v>2514</v>
      </c>
      <c r="B1260" s="2" t="s">
        <v>2515</v>
      </c>
      <c r="C1260" s="17" t="s">
        <v>3109</v>
      </c>
      <c r="D1260" s="2" t="s">
        <v>65</v>
      </c>
      <c r="E1260" s="15" t="s">
        <v>186</v>
      </c>
      <c r="F1260" t="s">
        <v>170</v>
      </c>
      <c r="G1260" s="2" t="str">
        <f t="shared" si="20"/>
        <v>Medium</v>
      </c>
      <c r="H1260" s="3">
        <v>1058</v>
      </c>
      <c r="I1260" s="4">
        <v>1</v>
      </c>
      <c r="J1260" s="5">
        <v>33512.53024574669</v>
      </c>
      <c r="K1260" s="6">
        <v>9.4184425614920377E-3</v>
      </c>
      <c r="L1260" s="5">
        <v>459.12062381852553</v>
      </c>
      <c r="M1260" s="5">
        <v>3491.403024574669</v>
      </c>
      <c r="N1260" s="11">
        <v>4024.1120604914931</v>
      </c>
      <c r="O1260" s="13">
        <v>2024</v>
      </c>
    </row>
    <row r="1261" spans="1:15" ht="14.5" customHeight="1" x14ac:dyDescent="0.35">
      <c r="A1261" s="20" t="s">
        <v>2516</v>
      </c>
      <c r="B1261" s="2" t="s">
        <v>2517</v>
      </c>
      <c r="C1261" s="17" t="s">
        <v>3109</v>
      </c>
      <c r="D1261" s="2" t="s">
        <v>89</v>
      </c>
      <c r="E1261" s="15" t="s">
        <v>183</v>
      </c>
      <c r="F1261" t="s">
        <v>170</v>
      </c>
      <c r="G1261" s="2" t="str">
        <f t="shared" si="20"/>
        <v>Medium</v>
      </c>
      <c r="H1261" s="3">
        <v>2242</v>
      </c>
      <c r="I1261" s="4">
        <v>0.8</v>
      </c>
      <c r="J1261" s="5">
        <v>76054.926404995538</v>
      </c>
      <c r="K1261" s="6">
        <v>1.1937924927430933E-2</v>
      </c>
      <c r="L1261" s="5">
        <v>957.22435325602146</v>
      </c>
      <c r="M1261" s="5">
        <v>637.20428189116865</v>
      </c>
      <c r="N1261" s="11">
        <v>1715.0807314897413</v>
      </c>
      <c r="O1261" s="13">
        <v>2024</v>
      </c>
    </row>
    <row r="1262" spans="1:15" ht="14.5" customHeight="1" x14ac:dyDescent="0.35">
      <c r="A1262" s="20" t="s">
        <v>2518</v>
      </c>
      <c r="B1262" s="2" t="s">
        <v>2519</v>
      </c>
      <c r="C1262" s="17" t="s">
        <v>3109</v>
      </c>
      <c r="D1262" s="2" t="s">
        <v>269</v>
      </c>
      <c r="E1262" s="15" t="s">
        <v>178</v>
      </c>
      <c r="F1262" t="s">
        <v>170</v>
      </c>
      <c r="G1262" s="2" t="str">
        <f t="shared" si="20"/>
        <v>Medium</v>
      </c>
      <c r="H1262" s="3">
        <v>1472</v>
      </c>
      <c r="I1262" s="4">
        <v>1</v>
      </c>
      <c r="J1262" s="5">
        <v>59846.893342391304</v>
      </c>
      <c r="K1262" s="6">
        <v>6.6140015553956544E-3</v>
      </c>
      <c r="L1262" s="5">
        <v>447.20108695652175</v>
      </c>
      <c r="M1262" s="5">
        <v>495.92391304347825</v>
      </c>
      <c r="N1262" s="11">
        <v>740.383152173913</v>
      </c>
      <c r="O1262" s="13">
        <v>2024</v>
      </c>
    </row>
    <row r="1263" spans="1:15" ht="14.5" customHeight="1" x14ac:dyDescent="0.35">
      <c r="A1263" s="20" t="s">
        <v>2520</v>
      </c>
      <c r="B1263" s="2" t="s">
        <v>2521</v>
      </c>
      <c r="C1263" s="17" t="s">
        <v>3109</v>
      </c>
      <c r="D1263" s="2" t="s">
        <v>272</v>
      </c>
      <c r="E1263" s="15" t="s">
        <v>273</v>
      </c>
      <c r="F1263" t="s">
        <v>208</v>
      </c>
      <c r="G1263" s="2" t="str">
        <f t="shared" si="20"/>
        <v>Medium</v>
      </c>
      <c r="H1263" s="3">
        <v>3571</v>
      </c>
      <c r="I1263" s="4">
        <v>9.4</v>
      </c>
      <c r="J1263" s="5">
        <v>621909.82917950151</v>
      </c>
      <c r="K1263" s="6" t="s">
        <v>27</v>
      </c>
      <c r="L1263" s="5">
        <v>0</v>
      </c>
      <c r="M1263" s="5">
        <v>0</v>
      </c>
      <c r="N1263" s="11">
        <v>0</v>
      </c>
      <c r="O1263" s="13">
        <v>2024</v>
      </c>
    </row>
    <row r="1264" spans="1:15" ht="14.5" customHeight="1" x14ac:dyDescent="0.35">
      <c r="A1264" s="20" t="s">
        <v>2522</v>
      </c>
      <c r="B1264" s="2" t="s">
        <v>2523</v>
      </c>
      <c r="C1264" s="17" t="s">
        <v>3109</v>
      </c>
      <c r="D1264" s="2" t="s">
        <v>588</v>
      </c>
      <c r="E1264" s="15" t="s">
        <v>178</v>
      </c>
      <c r="F1264" t="s">
        <v>170</v>
      </c>
      <c r="G1264" s="2" t="str">
        <f t="shared" si="20"/>
        <v>Small</v>
      </c>
      <c r="H1264" s="3">
        <v>254</v>
      </c>
      <c r="I1264" s="4">
        <v>0.6</v>
      </c>
      <c r="J1264" s="5">
        <v>57757.066929133856</v>
      </c>
      <c r="K1264" s="6" t="s">
        <v>27</v>
      </c>
      <c r="L1264" s="5">
        <v>0</v>
      </c>
      <c r="M1264" s="5">
        <v>0</v>
      </c>
      <c r="N1264" s="11">
        <v>0</v>
      </c>
      <c r="O1264" s="13">
        <v>2024</v>
      </c>
    </row>
    <row r="1265" spans="1:15" ht="14.5" customHeight="1" x14ac:dyDescent="0.35">
      <c r="A1265" s="20" t="s">
        <v>2524</v>
      </c>
      <c r="B1265" s="2" t="s">
        <v>2525</v>
      </c>
      <c r="C1265" s="17" t="s">
        <v>3109</v>
      </c>
      <c r="D1265" s="2" t="s">
        <v>597</v>
      </c>
      <c r="E1265" s="15" t="s">
        <v>169</v>
      </c>
      <c r="F1265" t="s">
        <v>170</v>
      </c>
      <c r="G1265" s="2" t="str">
        <f t="shared" si="20"/>
        <v>Medium</v>
      </c>
      <c r="H1265" s="3">
        <v>3272</v>
      </c>
      <c r="I1265" s="4">
        <v>1.9</v>
      </c>
      <c r="J1265" s="5">
        <v>56437.713325183373</v>
      </c>
      <c r="K1265" s="6">
        <v>9.6205704150622625E-3</v>
      </c>
      <c r="L1265" s="5">
        <v>582.60185819070898</v>
      </c>
      <c r="M1265" s="5">
        <v>9467.7029339853307</v>
      </c>
      <c r="N1265" s="11">
        <v>2317.6367542787284</v>
      </c>
      <c r="O1265" s="13">
        <v>2024</v>
      </c>
    </row>
    <row r="1266" spans="1:15" ht="14.5" customHeight="1" x14ac:dyDescent="0.35">
      <c r="A1266" s="20" t="s">
        <v>2526</v>
      </c>
      <c r="B1266" s="2" t="s">
        <v>2527</v>
      </c>
      <c r="C1266" s="17" t="s">
        <v>3109</v>
      </c>
      <c r="D1266" s="2" t="s">
        <v>30</v>
      </c>
      <c r="E1266" s="15" t="s">
        <v>273</v>
      </c>
      <c r="F1266" t="s">
        <v>208</v>
      </c>
      <c r="G1266" s="2" t="str">
        <f t="shared" si="20"/>
        <v>Large</v>
      </c>
      <c r="H1266" s="3">
        <v>20438</v>
      </c>
      <c r="I1266" s="4">
        <v>2</v>
      </c>
      <c r="J1266" s="5">
        <v>166699.08405910557</v>
      </c>
      <c r="K1266" s="6">
        <v>1.0649873169203834E-2</v>
      </c>
      <c r="L1266" s="5">
        <v>1934.5278217046675</v>
      </c>
      <c r="M1266" s="5">
        <v>855.99540072414129</v>
      </c>
      <c r="N1266" s="11">
        <v>2336.4194769546925</v>
      </c>
      <c r="O1266" s="13">
        <v>2024</v>
      </c>
    </row>
    <row r="1267" spans="1:15" ht="14.5" customHeight="1" x14ac:dyDescent="0.35">
      <c r="A1267" s="20" t="s">
        <v>2528</v>
      </c>
      <c r="B1267" s="2" t="s">
        <v>2529</v>
      </c>
      <c r="C1267" s="17" t="s">
        <v>3109</v>
      </c>
      <c r="D1267" s="2" t="s">
        <v>181</v>
      </c>
      <c r="E1267" s="15" t="s">
        <v>178</v>
      </c>
      <c r="F1267" t="s">
        <v>170</v>
      </c>
      <c r="G1267" s="2" t="str">
        <f t="shared" si="20"/>
        <v>Small</v>
      </c>
      <c r="H1267" s="3">
        <v>771</v>
      </c>
      <c r="I1267" s="4">
        <v>1</v>
      </c>
      <c r="J1267" s="5">
        <v>45627.640726329446</v>
      </c>
      <c r="K1267" s="6">
        <v>1.3873823439275876E-2</v>
      </c>
      <c r="L1267" s="5">
        <v>680.44098573281451</v>
      </c>
      <c r="M1267" s="5">
        <v>4082.0870817120626</v>
      </c>
      <c r="N1267" s="11">
        <v>2814.7548638132293</v>
      </c>
      <c r="O1267" s="13">
        <v>2024</v>
      </c>
    </row>
    <row r="1268" spans="1:15" ht="14.5" customHeight="1" x14ac:dyDescent="0.35">
      <c r="A1268" s="20" t="s">
        <v>2530</v>
      </c>
      <c r="B1268" s="2" t="s">
        <v>2531</v>
      </c>
      <c r="C1268" s="17" t="s">
        <v>3109</v>
      </c>
      <c r="D1268" s="2" t="s">
        <v>597</v>
      </c>
      <c r="E1268" s="15" t="s">
        <v>169</v>
      </c>
      <c r="F1268" t="s">
        <v>170</v>
      </c>
      <c r="G1268" s="2" t="str">
        <f t="shared" si="20"/>
        <v>Small</v>
      </c>
      <c r="H1268" s="3">
        <v>570</v>
      </c>
      <c r="I1268" s="4">
        <v>1</v>
      </c>
      <c r="J1268" s="5">
        <v>58937.892982456142</v>
      </c>
      <c r="K1268" s="6">
        <v>7.5450006115566366E-3</v>
      </c>
      <c r="L1268" s="5">
        <v>534.33612280701743</v>
      </c>
      <c r="M1268" s="5">
        <v>398.23350877192985</v>
      </c>
      <c r="N1268" s="11">
        <v>1511.5392105263159</v>
      </c>
      <c r="O1268" s="13">
        <v>2024</v>
      </c>
    </row>
    <row r="1269" spans="1:15" ht="14.5" customHeight="1" x14ac:dyDescent="0.35">
      <c r="A1269" s="20" t="s">
        <v>2532</v>
      </c>
      <c r="B1269" s="2" t="s">
        <v>2533</v>
      </c>
      <c r="C1269" s="17" t="s">
        <v>3109</v>
      </c>
      <c r="D1269" s="2" t="s">
        <v>67</v>
      </c>
      <c r="E1269" s="15" t="s">
        <v>183</v>
      </c>
      <c r="F1269" t="s">
        <v>170</v>
      </c>
      <c r="G1269" s="2" t="str">
        <f t="shared" si="20"/>
        <v>Small</v>
      </c>
      <c r="H1269" s="3">
        <v>311</v>
      </c>
      <c r="I1269" s="4">
        <v>0.5</v>
      </c>
      <c r="J1269" s="5">
        <v>46944.581993569132</v>
      </c>
      <c r="K1269" s="6">
        <v>4.5206042700002358E-3</v>
      </c>
      <c r="L1269" s="5">
        <v>220.59254019292598</v>
      </c>
      <c r="M1269" s="5">
        <v>590.03215434083597</v>
      </c>
      <c r="N1269" s="11">
        <v>2484.0235691318326</v>
      </c>
      <c r="O1269" s="13">
        <v>2024</v>
      </c>
    </row>
    <row r="1270" spans="1:15" ht="14.5" customHeight="1" x14ac:dyDescent="0.35">
      <c r="A1270" s="20" t="s">
        <v>2534</v>
      </c>
      <c r="B1270" s="2" t="s">
        <v>2535</v>
      </c>
      <c r="C1270" s="17" t="s">
        <v>3109</v>
      </c>
      <c r="D1270" s="2" t="s">
        <v>282</v>
      </c>
      <c r="E1270" s="15" t="s">
        <v>169</v>
      </c>
      <c r="F1270" t="s">
        <v>170</v>
      </c>
      <c r="G1270" s="2" t="str">
        <f t="shared" si="20"/>
        <v>Medium</v>
      </c>
      <c r="H1270" s="3">
        <v>5483</v>
      </c>
      <c r="I1270" s="4">
        <v>3.1</v>
      </c>
      <c r="J1270" s="5">
        <v>40196.172898048513</v>
      </c>
      <c r="K1270" s="6">
        <v>1.3414529171033964E-2</v>
      </c>
      <c r="L1270" s="5">
        <v>583.00854459237632</v>
      </c>
      <c r="M1270" s="5">
        <v>2203.0151376983404</v>
      </c>
      <c r="N1270" s="11">
        <v>2602.9871238373153</v>
      </c>
      <c r="O1270" s="13">
        <v>2024</v>
      </c>
    </row>
    <row r="1271" spans="1:15" ht="14.5" customHeight="1" x14ac:dyDescent="0.35">
      <c r="A1271" s="20" t="s">
        <v>2536</v>
      </c>
      <c r="B1271" s="2" t="s">
        <v>2537</v>
      </c>
      <c r="C1271" s="17" t="s">
        <v>3109</v>
      </c>
      <c r="D1271" s="2" t="s">
        <v>30</v>
      </c>
      <c r="E1271" s="15" t="s">
        <v>273</v>
      </c>
      <c r="F1271" t="s">
        <v>208</v>
      </c>
      <c r="G1271" s="2" t="str">
        <f t="shared" si="20"/>
        <v>Medium</v>
      </c>
      <c r="H1271" s="3">
        <v>8560</v>
      </c>
      <c r="I1271" s="4">
        <v>1.1000000000000001</v>
      </c>
      <c r="J1271" s="5">
        <v>228541.33457943925</v>
      </c>
      <c r="K1271" s="6">
        <v>7.8527850754481002E-3</v>
      </c>
      <c r="L1271" s="5">
        <v>1845.0195093457944</v>
      </c>
      <c r="M1271" s="5">
        <v>1323.0140186915887</v>
      </c>
      <c r="N1271" s="11">
        <v>2649.7998831775699</v>
      </c>
      <c r="O1271" s="13">
        <v>2024</v>
      </c>
    </row>
    <row r="1272" spans="1:15" ht="14.5" customHeight="1" x14ac:dyDescent="0.35">
      <c r="A1272" s="20" t="s">
        <v>2538</v>
      </c>
      <c r="B1272" s="2" t="s">
        <v>2539</v>
      </c>
      <c r="C1272" s="17" t="s">
        <v>3109</v>
      </c>
      <c r="D1272" s="2" t="s">
        <v>55</v>
      </c>
      <c r="E1272" s="15" t="s">
        <v>207</v>
      </c>
      <c r="F1272" t="s">
        <v>208</v>
      </c>
      <c r="G1272" s="2" t="str">
        <f t="shared" si="20"/>
        <v>Large</v>
      </c>
      <c r="H1272" s="3">
        <v>20151</v>
      </c>
      <c r="I1272" s="4">
        <v>3.2</v>
      </c>
      <c r="J1272" s="5">
        <v>238181.64403751676</v>
      </c>
      <c r="K1272" s="6">
        <v>5.8428104175748839E-3</v>
      </c>
      <c r="L1272" s="5">
        <v>1711.7333631085305</v>
      </c>
      <c r="M1272" s="5">
        <v>3103.876234430053</v>
      </c>
      <c r="N1272" s="11">
        <v>2996.5343064860308</v>
      </c>
      <c r="O1272" s="13">
        <v>2024</v>
      </c>
    </row>
    <row r="1273" spans="1:15" ht="14.5" customHeight="1" x14ac:dyDescent="0.35">
      <c r="A1273" s="20" t="s">
        <v>2540</v>
      </c>
      <c r="B1273" s="2" t="s">
        <v>2541</v>
      </c>
      <c r="C1273" s="17" t="s">
        <v>3109</v>
      </c>
      <c r="D1273" s="2" t="s">
        <v>15</v>
      </c>
      <c r="E1273" s="15" t="s">
        <v>178</v>
      </c>
      <c r="F1273" t="s">
        <v>170</v>
      </c>
      <c r="G1273" s="2" t="str">
        <f t="shared" si="20"/>
        <v>Medium</v>
      </c>
      <c r="H1273" s="3">
        <v>1640</v>
      </c>
      <c r="I1273" s="4">
        <v>1.2</v>
      </c>
      <c r="J1273" s="5">
        <v>49050.520731707315</v>
      </c>
      <c r="K1273" s="6">
        <v>5.3474979890693591E-3</v>
      </c>
      <c r="L1273" s="5">
        <v>583.04896951219519</v>
      </c>
      <c r="M1273" s="5">
        <v>436.30592682926829</v>
      </c>
      <c r="N1273" s="11">
        <v>1122.9970000000001</v>
      </c>
      <c r="O1273" s="13">
        <v>2024</v>
      </c>
    </row>
    <row r="1274" spans="1:15" ht="14.5" customHeight="1" x14ac:dyDescent="0.35">
      <c r="A1274" s="20" t="s">
        <v>2542</v>
      </c>
      <c r="B1274" s="2" t="s">
        <v>2543</v>
      </c>
      <c r="C1274" s="17" t="s">
        <v>3109</v>
      </c>
      <c r="D1274" s="2" t="s">
        <v>89</v>
      </c>
      <c r="E1274" s="15" t="s">
        <v>183</v>
      </c>
      <c r="F1274" t="s">
        <v>170</v>
      </c>
      <c r="G1274" s="2" t="str">
        <f t="shared" si="20"/>
        <v>Medium</v>
      </c>
      <c r="H1274" s="3">
        <v>4662</v>
      </c>
      <c r="I1274" s="4">
        <v>1.8</v>
      </c>
      <c r="J1274" s="5">
        <v>77552.862290862293</v>
      </c>
      <c r="K1274" s="6" t="s">
        <v>27</v>
      </c>
      <c r="L1274" s="5">
        <v>0</v>
      </c>
      <c r="M1274" s="5">
        <v>0</v>
      </c>
      <c r="N1274" s="11">
        <v>0</v>
      </c>
      <c r="O1274" s="13">
        <v>2024</v>
      </c>
    </row>
    <row r="1275" spans="1:15" ht="14.5" customHeight="1" x14ac:dyDescent="0.35">
      <c r="A1275" s="20" t="s">
        <v>2544</v>
      </c>
      <c r="B1275" s="2" t="s">
        <v>2545</v>
      </c>
      <c r="C1275" s="17" t="s">
        <v>3109</v>
      </c>
      <c r="D1275" s="2" t="s">
        <v>94</v>
      </c>
      <c r="E1275" s="15" t="s">
        <v>169</v>
      </c>
      <c r="F1275" t="s">
        <v>170</v>
      </c>
      <c r="G1275" s="2" t="str">
        <f t="shared" si="20"/>
        <v>Small</v>
      </c>
      <c r="H1275" s="3">
        <v>297</v>
      </c>
      <c r="I1275" s="4">
        <v>0.9</v>
      </c>
      <c r="J1275" s="5">
        <v>65826.565656565654</v>
      </c>
      <c r="K1275" s="6">
        <v>2.6086307811210869E-3</v>
      </c>
      <c r="L1275" s="5">
        <v>452.14329966329967</v>
      </c>
      <c r="M1275" s="5">
        <v>2663.5252525252527</v>
      </c>
      <c r="N1275" s="11">
        <v>676.14242424242423</v>
      </c>
      <c r="O1275" s="13">
        <v>2024</v>
      </c>
    </row>
    <row r="1276" spans="1:15" ht="14.5" customHeight="1" x14ac:dyDescent="0.35">
      <c r="A1276" s="20" t="s">
        <v>2546</v>
      </c>
      <c r="B1276" s="2" t="s">
        <v>2547</v>
      </c>
      <c r="C1276" s="17" t="s">
        <v>3109</v>
      </c>
      <c r="D1276" s="2" t="s">
        <v>30</v>
      </c>
      <c r="E1276" s="15" t="s">
        <v>273</v>
      </c>
      <c r="F1276" t="s">
        <v>208</v>
      </c>
      <c r="G1276" s="2" t="str">
        <f t="shared" si="20"/>
        <v>Medium</v>
      </c>
      <c r="H1276" s="3">
        <v>6956</v>
      </c>
      <c r="I1276" s="4">
        <v>0.5</v>
      </c>
      <c r="J1276" s="5">
        <v>207888.63326624496</v>
      </c>
      <c r="K1276" s="6">
        <v>2.432276371975667E-3</v>
      </c>
      <c r="L1276" s="5">
        <v>538.74281196089703</v>
      </c>
      <c r="M1276" s="5">
        <v>234.65914318573894</v>
      </c>
      <c r="N1276" s="11">
        <v>835.23677400805059</v>
      </c>
      <c r="O1276" s="13">
        <v>2024</v>
      </c>
    </row>
    <row r="1277" spans="1:15" ht="14.5" customHeight="1" x14ac:dyDescent="0.35">
      <c r="A1277" s="20" t="s">
        <v>2548</v>
      </c>
      <c r="B1277" s="2" t="s">
        <v>2549</v>
      </c>
      <c r="C1277" s="17" t="s">
        <v>3109</v>
      </c>
      <c r="D1277" s="2" t="s">
        <v>20</v>
      </c>
      <c r="E1277" s="15" t="s">
        <v>183</v>
      </c>
      <c r="F1277" t="s">
        <v>170</v>
      </c>
      <c r="G1277" s="2" t="str">
        <f t="shared" si="20"/>
        <v>Small</v>
      </c>
      <c r="H1277" s="3">
        <v>892</v>
      </c>
      <c r="I1277" s="4">
        <v>1.1000000000000001</v>
      </c>
      <c r="J1277" s="5">
        <v>43598.517937219731</v>
      </c>
      <c r="K1277" s="6">
        <v>9.528186228817688E-3</v>
      </c>
      <c r="L1277" s="5">
        <v>581.67488789237666</v>
      </c>
      <c r="M1277" s="5">
        <v>2316.2421524663678</v>
      </c>
      <c r="N1277" s="11">
        <v>3102.336322869955</v>
      </c>
      <c r="O1277" s="13">
        <v>2024</v>
      </c>
    </row>
    <row r="1278" spans="1:15" ht="14.5" customHeight="1" x14ac:dyDescent="0.35">
      <c r="A1278" s="20" t="s">
        <v>2550</v>
      </c>
      <c r="B1278" s="2" t="s">
        <v>2551</v>
      </c>
      <c r="C1278" s="17" t="s">
        <v>3109</v>
      </c>
      <c r="D1278" s="2" t="s">
        <v>89</v>
      </c>
      <c r="E1278" s="15" t="s">
        <v>183</v>
      </c>
      <c r="F1278" t="s">
        <v>170</v>
      </c>
      <c r="G1278" s="2" t="str">
        <f t="shared" si="20"/>
        <v>Medium</v>
      </c>
      <c r="H1278" s="3">
        <v>1745</v>
      </c>
      <c r="I1278" s="4">
        <v>0.6</v>
      </c>
      <c r="J1278" s="5">
        <v>63980.189684813755</v>
      </c>
      <c r="K1278" s="6">
        <v>5.5291634818445904E-3</v>
      </c>
      <c r="L1278" s="5">
        <v>381.50657879656154</v>
      </c>
      <c r="M1278" s="5">
        <v>3027.7679083094554</v>
      </c>
      <c r="N1278" s="11">
        <v>1426.3746074498567</v>
      </c>
      <c r="O1278" s="13">
        <v>2024</v>
      </c>
    </row>
    <row r="1279" spans="1:15" ht="14.5" customHeight="1" x14ac:dyDescent="0.35">
      <c r="A1279" s="20" t="s">
        <v>2552</v>
      </c>
      <c r="B1279" s="2" t="s">
        <v>2553</v>
      </c>
      <c r="C1279" s="17" t="s">
        <v>3109</v>
      </c>
      <c r="D1279" s="2" t="s">
        <v>220</v>
      </c>
      <c r="E1279" s="15" t="s">
        <v>173</v>
      </c>
      <c r="F1279" t="s">
        <v>170</v>
      </c>
      <c r="G1279" s="2" t="str">
        <f t="shared" si="20"/>
        <v>Small</v>
      </c>
      <c r="H1279" s="3">
        <v>514</v>
      </c>
      <c r="I1279" s="4">
        <v>0.7</v>
      </c>
      <c r="J1279" s="5">
        <v>213760.03501945524</v>
      </c>
      <c r="K1279" s="6">
        <v>3.6490425124692991E-3</v>
      </c>
      <c r="L1279" s="5">
        <v>806.16147859922182</v>
      </c>
      <c r="M1279" s="5">
        <v>377.40077821011675</v>
      </c>
      <c r="N1279" s="11">
        <v>1377.9377431906614</v>
      </c>
      <c r="O1279" s="13">
        <v>2024</v>
      </c>
    </row>
    <row r="1280" spans="1:15" ht="14.5" customHeight="1" x14ac:dyDescent="0.35">
      <c r="A1280" s="20" t="s">
        <v>2554</v>
      </c>
      <c r="B1280" s="2" t="s">
        <v>2555</v>
      </c>
      <c r="C1280" s="17" t="s">
        <v>3109</v>
      </c>
      <c r="D1280" s="2" t="s">
        <v>30</v>
      </c>
      <c r="E1280" s="15" t="s">
        <v>273</v>
      </c>
      <c r="F1280" t="s">
        <v>208</v>
      </c>
      <c r="G1280" s="2" t="str">
        <f t="shared" si="20"/>
        <v>Large</v>
      </c>
      <c r="H1280" s="3">
        <v>17109</v>
      </c>
      <c r="I1280" s="4">
        <v>2.2000000000000002</v>
      </c>
      <c r="J1280" s="5">
        <v>206631.89987725759</v>
      </c>
      <c r="K1280" s="6">
        <v>1.2496751392913545E-3</v>
      </c>
      <c r="L1280" s="5">
        <v>299.00245484832544</v>
      </c>
      <c r="M1280" s="5">
        <v>392.19124437430594</v>
      </c>
      <c r="N1280" s="11">
        <v>592.57116137705304</v>
      </c>
      <c r="O1280" s="13">
        <v>2024</v>
      </c>
    </row>
    <row r="1281" spans="1:15" ht="14.5" customHeight="1" x14ac:dyDescent="0.35">
      <c r="A1281" s="20" t="s">
        <v>2556</v>
      </c>
      <c r="B1281" s="2" t="s">
        <v>2557</v>
      </c>
      <c r="C1281" s="17" t="s">
        <v>3109</v>
      </c>
      <c r="D1281" s="2" t="s">
        <v>63</v>
      </c>
      <c r="E1281" s="15" t="s">
        <v>169</v>
      </c>
      <c r="F1281" t="s">
        <v>170</v>
      </c>
      <c r="G1281" s="2" t="str">
        <f t="shared" si="20"/>
        <v>Medium</v>
      </c>
      <c r="H1281" s="3">
        <v>10151</v>
      </c>
      <c r="I1281" s="4">
        <v>4.5</v>
      </c>
      <c r="J1281" s="5">
        <v>40014.313368141069</v>
      </c>
      <c r="K1281" s="6">
        <v>1.5334988924205147E-2</v>
      </c>
      <c r="L1281" s="5">
        <v>942.31750566446658</v>
      </c>
      <c r="M1281" s="5">
        <v>471.45404393655798</v>
      </c>
      <c r="N1281" s="11">
        <v>1862.6632844054773</v>
      </c>
      <c r="O1281" s="13">
        <v>2024</v>
      </c>
    </row>
    <row r="1282" spans="1:15" ht="14.5" customHeight="1" x14ac:dyDescent="0.35">
      <c r="A1282" s="20" t="s">
        <v>2558</v>
      </c>
      <c r="B1282" s="2" t="s">
        <v>2559</v>
      </c>
      <c r="C1282" s="17" t="s">
        <v>3109</v>
      </c>
      <c r="D1282" s="2" t="s">
        <v>30</v>
      </c>
      <c r="E1282" s="15" t="s">
        <v>273</v>
      </c>
      <c r="F1282" t="s">
        <v>208</v>
      </c>
      <c r="G1282" s="2" t="str">
        <f t="shared" si="20"/>
        <v>Small</v>
      </c>
      <c r="H1282" s="3">
        <v>847</v>
      </c>
      <c r="I1282" s="4">
        <v>2.7</v>
      </c>
      <c r="J1282" s="5">
        <v>790417.15820543095</v>
      </c>
      <c r="K1282" s="6">
        <v>2.5005446998932232E-3</v>
      </c>
      <c r="L1282" s="5">
        <v>2060.5702479338843</v>
      </c>
      <c r="M1282" s="5">
        <v>0</v>
      </c>
      <c r="N1282" s="11">
        <v>2464.3305785123966</v>
      </c>
      <c r="O1282" s="13">
        <v>2024</v>
      </c>
    </row>
    <row r="1283" spans="1:15" ht="14.5" customHeight="1" x14ac:dyDescent="0.35">
      <c r="A1283" s="20" t="s">
        <v>2560</v>
      </c>
      <c r="B1283" s="2" t="s">
        <v>2561</v>
      </c>
      <c r="C1283" s="17" t="s">
        <v>3109</v>
      </c>
      <c r="D1283" s="2" t="s">
        <v>53</v>
      </c>
      <c r="E1283" s="15" t="s">
        <v>207</v>
      </c>
      <c r="F1283" t="s">
        <v>208</v>
      </c>
      <c r="G1283" s="2" t="str">
        <f t="shared" si="20"/>
        <v>Medium</v>
      </c>
      <c r="H1283" s="3">
        <v>3150</v>
      </c>
      <c r="I1283" s="4">
        <v>1.4</v>
      </c>
      <c r="J1283" s="5">
        <v>75754.404761904763</v>
      </c>
      <c r="K1283" s="6">
        <v>8.5841852142287296E-3</v>
      </c>
      <c r="L1283" s="5">
        <v>899.55968253968251</v>
      </c>
      <c r="M1283" s="5">
        <v>1246.031746031746</v>
      </c>
      <c r="N1283" s="11">
        <v>1397.8057142857142</v>
      </c>
      <c r="O1283" s="13">
        <v>2024</v>
      </c>
    </row>
    <row r="1284" spans="1:15" ht="14.5" customHeight="1" x14ac:dyDescent="0.35">
      <c r="A1284" s="20" t="s">
        <v>2562</v>
      </c>
      <c r="B1284" s="2" t="s">
        <v>2563</v>
      </c>
      <c r="C1284" s="17" t="s">
        <v>3109</v>
      </c>
      <c r="D1284" s="2" t="s">
        <v>34</v>
      </c>
      <c r="E1284" s="15" t="s">
        <v>214</v>
      </c>
      <c r="F1284" t="s">
        <v>170</v>
      </c>
      <c r="G1284" s="2" t="str">
        <f t="shared" si="20"/>
        <v>Small</v>
      </c>
      <c r="H1284" s="3">
        <v>780</v>
      </c>
      <c r="I1284" s="4">
        <v>0.9</v>
      </c>
      <c r="J1284" s="5">
        <v>79721.258974358978</v>
      </c>
      <c r="K1284" s="6">
        <v>2.4009938989024288E-3</v>
      </c>
      <c r="L1284" s="5">
        <v>544.76666666666665</v>
      </c>
      <c r="M1284" s="5">
        <v>3646.2076923076925</v>
      </c>
      <c r="N1284" s="11">
        <v>2853.748717948718</v>
      </c>
      <c r="O1284" s="13">
        <v>2024</v>
      </c>
    </row>
    <row r="1285" spans="1:15" ht="14.5" customHeight="1" x14ac:dyDescent="0.35">
      <c r="A1285" s="20" t="s">
        <v>2564</v>
      </c>
      <c r="B1285" s="2" t="s">
        <v>2565</v>
      </c>
      <c r="C1285" s="17" t="s">
        <v>3109</v>
      </c>
      <c r="D1285" s="2" t="s">
        <v>22</v>
      </c>
      <c r="E1285" s="15" t="s">
        <v>186</v>
      </c>
      <c r="F1285" t="s">
        <v>170</v>
      </c>
      <c r="G1285" s="2" t="str">
        <f t="shared" si="20"/>
        <v>Medium</v>
      </c>
      <c r="H1285" s="3">
        <v>1442</v>
      </c>
      <c r="I1285" s="4">
        <v>2</v>
      </c>
      <c r="J1285" s="5">
        <v>86767.595700416088</v>
      </c>
      <c r="K1285" s="6">
        <v>6.4989518407826451E-3</v>
      </c>
      <c r="L1285" s="5">
        <v>758.39814840499309</v>
      </c>
      <c r="M1285" s="5">
        <v>2986.9722607489598</v>
      </c>
      <c r="N1285" s="11">
        <v>2663.7579403606105</v>
      </c>
      <c r="O1285" s="13">
        <v>2024</v>
      </c>
    </row>
    <row r="1286" spans="1:15" ht="14.5" customHeight="1" x14ac:dyDescent="0.35">
      <c r="A1286" s="20" t="s">
        <v>2566</v>
      </c>
      <c r="B1286" s="2" t="s">
        <v>2567</v>
      </c>
      <c r="C1286" s="17" t="s">
        <v>3109</v>
      </c>
      <c r="D1286" s="2" t="s">
        <v>20</v>
      </c>
      <c r="E1286" s="15" t="s">
        <v>183</v>
      </c>
      <c r="F1286" t="s">
        <v>170</v>
      </c>
      <c r="G1286" s="2" t="str">
        <f t="shared" si="20"/>
        <v>Small</v>
      </c>
      <c r="H1286" s="3">
        <v>972</v>
      </c>
      <c r="I1286" s="4">
        <v>1</v>
      </c>
      <c r="J1286" s="5">
        <v>34307.942386831273</v>
      </c>
      <c r="K1286" s="6">
        <v>9.2513881175458786E-3</v>
      </c>
      <c r="L1286" s="5">
        <v>461.35185185185185</v>
      </c>
      <c r="M1286" s="5">
        <v>2690.329218106996</v>
      </c>
      <c r="N1286" s="11">
        <v>1011.6327160493827</v>
      </c>
      <c r="O1286" s="13">
        <v>2024</v>
      </c>
    </row>
    <row r="1287" spans="1:15" ht="14.5" customHeight="1" x14ac:dyDescent="0.35">
      <c r="A1287" s="20" t="s">
        <v>2568</v>
      </c>
      <c r="B1287" s="2" t="s">
        <v>2569</v>
      </c>
      <c r="C1287" s="17" t="s">
        <v>3109</v>
      </c>
      <c r="D1287" s="2" t="s">
        <v>181</v>
      </c>
      <c r="E1287" s="15" t="s">
        <v>178</v>
      </c>
      <c r="F1287" t="s">
        <v>170</v>
      </c>
      <c r="G1287" s="2" t="str">
        <f t="shared" si="20"/>
        <v>Medium</v>
      </c>
      <c r="H1287" s="3">
        <v>6047</v>
      </c>
      <c r="I1287" s="4">
        <v>3.3</v>
      </c>
      <c r="J1287" s="5">
        <v>38063.108648916816</v>
      </c>
      <c r="K1287" s="6">
        <v>1.6433927730007614E-2</v>
      </c>
      <c r="L1287" s="5">
        <v>687.82768314866871</v>
      </c>
      <c r="M1287" s="5">
        <v>1327.4478253679511</v>
      </c>
      <c r="N1287" s="11">
        <v>1736.1395733421532</v>
      </c>
      <c r="O1287" s="13">
        <v>2024</v>
      </c>
    </row>
    <row r="1288" spans="1:15" ht="14.5" customHeight="1" x14ac:dyDescent="0.35">
      <c r="A1288" s="20" t="s">
        <v>2570</v>
      </c>
      <c r="B1288" s="2" t="s">
        <v>2571</v>
      </c>
      <c r="C1288" s="17" t="s">
        <v>3109</v>
      </c>
      <c r="D1288" s="2" t="s">
        <v>1</v>
      </c>
      <c r="E1288" s="15" t="s">
        <v>217</v>
      </c>
      <c r="F1288" t="s">
        <v>170</v>
      </c>
      <c r="G1288" s="2" t="str">
        <f t="shared" si="20"/>
        <v>Medium</v>
      </c>
      <c r="H1288" s="3">
        <v>4554</v>
      </c>
      <c r="I1288" s="4">
        <v>3.1</v>
      </c>
      <c r="J1288" s="5">
        <v>119486.46332894159</v>
      </c>
      <c r="K1288" s="6">
        <v>4.8065653910950501E-3</v>
      </c>
      <c r="L1288" s="5">
        <v>1038.0474308300395</v>
      </c>
      <c r="M1288" s="5">
        <v>795.13021519543258</v>
      </c>
      <c r="N1288" s="11">
        <v>1974.7830478700043</v>
      </c>
      <c r="O1288" s="13">
        <v>2024</v>
      </c>
    </row>
    <row r="1289" spans="1:15" ht="14.5" customHeight="1" x14ac:dyDescent="0.35">
      <c r="A1289" s="20" t="s">
        <v>2572</v>
      </c>
      <c r="B1289" s="2" t="s">
        <v>2573</v>
      </c>
      <c r="C1289" s="17" t="s">
        <v>3109</v>
      </c>
      <c r="D1289" s="2" t="s">
        <v>5</v>
      </c>
      <c r="E1289" s="15" t="s">
        <v>183</v>
      </c>
      <c r="F1289" t="s">
        <v>170</v>
      </c>
      <c r="G1289" s="2" t="str">
        <f t="shared" si="20"/>
        <v>Small</v>
      </c>
      <c r="H1289" s="3">
        <v>287</v>
      </c>
      <c r="I1289" s="4">
        <v>0.7</v>
      </c>
      <c r="J1289" s="5">
        <v>44096.878048780491</v>
      </c>
      <c r="K1289" s="6">
        <v>3.5720006409707353E-3</v>
      </c>
      <c r="L1289" s="5">
        <v>339.4662717770035</v>
      </c>
      <c r="M1289" s="5">
        <v>0</v>
      </c>
      <c r="N1289" s="11">
        <v>458.01198606271777</v>
      </c>
      <c r="O1289" s="13">
        <v>2024</v>
      </c>
    </row>
    <row r="1290" spans="1:15" ht="14.5" customHeight="1" x14ac:dyDescent="0.35">
      <c r="A1290" s="20" t="s">
        <v>2574</v>
      </c>
      <c r="B1290" s="2" t="s">
        <v>2575</v>
      </c>
      <c r="C1290" s="17" t="s">
        <v>3109</v>
      </c>
      <c r="D1290" s="2" t="s">
        <v>26</v>
      </c>
      <c r="E1290" s="15" t="s">
        <v>183</v>
      </c>
      <c r="F1290" t="s">
        <v>170</v>
      </c>
      <c r="G1290" s="2" t="str">
        <f t="shared" si="20"/>
        <v>Medium</v>
      </c>
      <c r="H1290" s="3">
        <v>1531</v>
      </c>
      <c r="I1290" s="4">
        <v>2.1</v>
      </c>
      <c r="J1290" s="5">
        <v>55484.903984323973</v>
      </c>
      <c r="K1290" s="6">
        <v>5.9878135393639179E-3</v>
      </c>
      <c r="L1290" s="5">
        <v>436.08229261920314</v>
      </c>
      <c r="M1290" s="5">
        <v>3219.6723383409535</v>
      </c>
      <c r="N1290" s="11">
        <v>2268.0370476812541</v>
      </c>
      <c r="O1290" s="13">
        <v>2024</v>
      </c>
    </row>
    <row r="1291" spans="1:15" ht="14.5" customHeight="1" x14ac:dyDescent="0.35">
      <c r="A1291" s="20" t="s">
        <v>2576</v>
      </c>
      <c r="B1291" s="2" t="s">
        <v>2577</v>
      </c>
      <c r="C1291" s="17" t="s">
        <v>3109</v>
      </c>
      <c r="D1291" s="2" t="s">
        <v>338</v>
      </c>
      <c r="E1291" s="15" t="s">
        <v>214</v>
      </c>
      <c r="F1291" t="s">
        <v>170</v>
      </c>
      <c r="G1291" s="2" t="str">
        <f t="shared" si="20"/>
        <v>Medium</v>
      </c>
      <c r="H1291" s="3">
        <v>1131</v>
      </c>
      <c r="I1291" s="4">
        <v>1.3</v>
      </c>
      <c r="J1291" s="5">
        <v>82159.785718000727</v>
      </c>
      <c r="K1291" s="6">
        <v>4.7442227386679707E-3</v>
      </c>
      <c r="L1291" s="5">
        <v>571.82020335985851</v>
      </c>
      <c r="M1291" s="5">
        <v>3130.7497789566755</v>
      </c>
      <c r="N1291" s="11">
        <v>1519.5356498673741</v>
      </c>
      <c r="O1291" s="13">
        <v>2024</v>
      </c>
    </row>
    <row r="1292" spans="1:15" ht="14.5" customHeight="1" x14ac:dyDescent="0.35">
      <c r="A1292" s="20" t="s">
        <v>2578</v>
      </c>
      <c r="B1292" s="2" t="s">
        <v>2579</v>
      </c>
      <c r="C1292" s="17" t="s">
        <v>3109</v>
      </c>
      <c r="D1292" s="2" t="s">
        <v>48</v>
      </c>
      <c r="E1292" s="15" t="s">
        <v>186</v>
      </c>
      <c r="F1292" t="s">
        <v>170</v>
      </c>
      <c r="G1292" s="2" t="str">
        <f t="shared" si="20"/>
        <v>Medium</v>
      </c>
      <c r="H1292" s="3">
        <v>1729</v>
      </c>
      <c r="I1292" s="4">
        <v>0.9</v>
      </c>
      <c r="J1292" s="5">
        <v>42843.006940427993</v>
      </c>
      <c r="K1292" s="6">
        <v>9.1628478969696323E-3</v>
      </c>
      <c r="L1292" s="5">
        <v>610.31190283400792</v>
      </c>
      <c r="M1292" s="5">
        <v>1047.3533834586467</v>
      </c>
      <c r="N1292" s="11">
        <v>1101.8972758820128</v>
      </c>
      <c r="O1292" s="13">
        <v>2024</v>
      </c>
    </row>
    <row r="1293" spans="1:15" ht="14.5" customHeight="1" x14ac:dyDescent="0.35">
      <c r="A1293" s="20" t="s">
        <v>2580</v>
      </c>
      <c r="B1293" s="2" t="s">
        <v>2581</v>
      </c>
      <c r="C1293" s="17" t="s">
        <v>3109</v>
      </c>
      <c r="D1293" s="2" t="s">
        <v>46</v>
      </c>
      <c r="E1293" s="15" t="s">
        <v>214</v>
      </c>
      <c r="F1293" t="s">
        <v>170</v>
      </c>
      <c r="G1293" s="2" t="str">
        <f t="shared" si="20"/>
        <v>Small</v>
      </c>
      <c r="H1293" s="3">
        <v>407</v>
      </c>
      <c r="I1293" s="4">
        <v>0.8</v>
      </c>
      <c r="J1293" s="5">
        <v>58174.184275184278</v>
      </c>
      <c r="K1293" s="6">
        <v>6.382594202710634E-3</v>
      </c>
      <c r="L1293" s="5">
        <v>512.57739557739558</v>
      </c>
      <c r="M1293" s="5">
        <v>0</v>
      </c>
      <c r="N1293" s="11">
        <v>915.98771498771498</v>
      </c>
      <c r="O1293" s="13">
        <v>2024</v>
      </c>
    </row>
    <row r="1294" spans="1:15" ht="14.5" customHeight="1" x14ac:dyDescent="0.35">
      <c r="A1294" s="20" t="s">
        <v>2582</v>
      </c>
      <c r="B1294" s="2" t="s">
        <v>2583</v>
      </c>
      <c r="C1294" s="17" t="s">
        <v>3109</v>
      </c>
      <c r="D1294" s="2" t="s">
        <v>69</v>
      </c>
      <c r="E1294" s="15" t="s">
        <v>173</v>
      </c>
      <c r="F1294" t="s">
        <v>170</v>
      </c>
      <c r="G1294" s="2" t="str">
        <f t="shared" si="20"/>
        <v>Small</v>
      </c>
      <c r="H1294" s="3">
        <v>367</v>
      </c>
      <c r="I1294" s="4">
        <v>0.4</v>
      </c>
      <c r="J1294" s="5">
        <v>65724.005449591277</v>
      </c>
      <c r="K1294" s="6">
        <v>4.816348274988589E-3</v>
      </c>
      <c r="L1294" s="5">
        <v>415.97509536784736</v>
      </c>
      <c r="M1294" s="5">
        <v>1882.6427520435968</v>
      </c>
      <c r="N1294" s="11">
        <v>1572.7021525885557</v>
      </c>
      <c r="O1294" s="13">
        <v>2024</v>
      </c>
    </row>
    <row r="1295" spans="1:15" ht="14.5" customHeight="1" x14ac:dyDescent="0.35">
      <c r="A1295" s="20" t="s">
        <v>2584</v>
      </c>
      <c r="B1295" s="2" t="s">
        <v>2585</v>
      </c>
      <c r="C1295" s="17" t="s">
        <v>3109</v>
      </c>
      <c r="D1295" s="2" t="s">
        <v>30</v>
      </c>
      <c r="E1295" s="15" t="s">
        <v>273</v>
      </c>
      <c r="F1295" t="s">
        <v>208</v>
      </c>
      <c r="G1295" s="2" t="str">
        <f t="shared" si="20"/>
        <v>Medium</v>
      </c>
      <c r="H1295" s="3">
        <v>1054</v>
      </c>
      <c r="I1295" s="4">
        <v>2.6</v>
      </c>
      <c r="J1295" s="5">
        <v>465196.71062618593</v>
      </c>
      <c r="K1295" s="6">
        <v>4.9391176632134276E-3</v>
      </c>
      <c r="L1295" s="5">
        <v>2430.7988614800761</v>
      </c>
      <c r="M1295" s="5">
        <v>0</v>
      </c>
      <c r="N1295" s="11">
        <v>2612.9392789373815</v>
      </c>
      <c r="O1295" s="13">
        <v>2024</v>
      </c>
    </row>
    <row r="1296" spans="1:15" ht="14.5" customHeight="1" x14ac:dyDescent="0.35">
      <c r="A1296" s="20" t="s">
        <v>2586</v>
      </c>
      <c r="B1296" s="2" t="s">
        <v>2587</v>
      </c>
      <c r="C1296" s="17" t="s">
        <v>3109</v>
      </c>
      <c r="D1296" s="2" t="s">
        <v>9</v>
      </c>
      <c r="E1296" s="15" t="s">
        <v>207</v>
      </c>
      <c r="F1296" t="s">
        <v>208</v>
      </c>
      <c r="G1296" s="2" t="str">
        <f t="shared" si="20"/>
        <v>Medium</v>
      </c>
      <c r="H1296" s="3">
        <v>1455</v>
      </c>
      <c r="I1296" s="4">
        <v>1.9</v>
      </c>
      <c r="J1296" s="5">
        <v>169024.15051546393</v>
      </c>
      <c r="K1296" s="6">
        <v>4.4293595101005494E-3</v>
      </c>
      <c r="L1296" s="5">
        <v>902.27216494845356</v>
      </c>
      <c r="M1296" s="5">
        <v>1313.2442474226802</v>
      </c>
      <c r="N1296" s="11">
        <v>2266.1505429553263</v>
      </c>
      <c r="O1296" s="13">
        <v>2024</v>
      </c>
    </row>
    <row r="1297" spans="1:15" ht="14.5" customHeight="1" x14ac:dyDescent="0.35">
      <c r="A1297" s="20" t="s">
        <v>2588</v>
      </c>
      <c r="B1297" s="2" t="s">
        <v>2589</v>
      </c>
      <c r="C1297" s="17" t="s">
        <v>3109</v>
      </c>
      <c r="D1297" s="2" t="s">
        <v>9</v>
      </c>
      <c r="E1297" s="15" t="s">
        <v>207</v>
      </c>
      <c r="F1297" t="s">
        <v>208</v>
      </c>
      <c r="G1297" s="2" t="str">
        <f t="shared" si="20"/>
        <v>Small</v>
      </c>
      <c r="H1297" s="3">
        <v>903</v>
      </c>
      <c r="I1297" s="4">
        <v>0.6</v>
      </c>
      <c r="J1297" s="5">
        <v>118041.37430786269</v>
      </c>
      <c r="K1297" s="6">
        <v>4.2779740845977189E-3</v>
      </c>
      <c r="L1297" s="5">
        <v>580.34880398671089</v>
      </c>
      <c r="M1297" s="5">
        <v>561.89147286821708</v>
      </c>
      <c r="N1297" s="11">
        <v>1747.4873200442969</v>
      </c>
      <c r="O1297" s="13">
        <v>2024</v>
      </c>
    </row>
    <row r="1298" spans="1:15" ht="14.5" customHeight="1" x14ac:dyDescent="0.35">
      <c r="A1298" s="20" t="s">
        <v>2590</v>
      </c>
      <c r="B1298" s="2" t="s">
        <v>2591</v>
      </c>
      <c r="C1298" s="17" t="s">
        <v>3109</v>
      </c>
      <c r="D1298" s="2" t="s">
        <v>24</v>
      </c>
      <c r="E1298" s="15" t="s">
        <v>173</v>
      </c>
      <c r="F1298" t="s">
        <v>170</v>
      </c>
      <c r="G1298" s="2" t="str">
        <f t="shared" si="20"/>
        <v>Small</v>
      </c>
      <c r="H1298" s="3">
        <v>301</v>
      </c>
      <c r="I1298" s="4">
        <v>0.4</v>
      </c>
      <c r="J1298" s="5">
        <v>26536.498338870431</v>
      </c>
      <c r="K1298" s="6">
        <v>5.74724012035827E-3</v>
      </c>
      <c r="L1298" s="5">
        <v>245.25913621262458</v>
      </c>
      <c r="M1298" s="5">
        <v>0</v>
      </c>
      <c r="N1298" s="11">
        <v>853.641196013289</v>
      </c>
      <c r="O1298" s="13">
        <v>2024</v>
      </c>
    </row>
    <row r="1299" spans="1:15" ht="14.5" customHeight="1" x14ac:dyDescent="0.35">
      <c r="A1299" s="20" t="s">
        <v>2592</v>
      </c>
      <c r="B1299" s="2" t="s">
        <v>2593</v>
      </c>
      <c r="C1299" s="17" t="s">
        <v>3109</v>
      </c>
      <c r="D1299" s="2" t="s">
        <v>30</v>
      </c>
      <c r="E1299" s="15" t="s">
        <v>273</v>
      </c>
      <c r="F1299" t="s">
        <v>208</v>
      </c>
      <c r="G1299" s="2" t="str">
        <f t="shared" si="20"/>
        <v>Large</v>
      </c>
      <c r="H1299" s="3">
        <v>20800</v>
      </c>
      <c r="I1299" s="4">
        <v>1.9</v>
      </c>
      <c r="J1299" s="5">
        <v>190425.06211538462</v>
      </c>
      <c r="K1299" s="6">
        <v>3.6402324498893352E-3</v>
      </c>
      <c r="L1299" s="5">
        <v>768.49995192307688</v>
      </c>
      <c r="M1299" s="5">
        <v>1954.0865384615386</v>
      </c>
      <c r="N1299" s="11">
        <v>1771.3234134615384</v>
      </c>
      <c r="O1299" s="13">
        <v>2024</v>
      </c>
    </row>
    <row r="1300" spans="1:15" ht="14.5" customHeight="1" x14ac:dyDescent="0.35">
      <c r="A1300" s="20" t="s">
        <v>2594</v>
      </c>
      <c r="B1300" s="2" t="s">
        <v>2595</v>
      </c>
      <c r="C1300" s="17" t="s">
        <v>3109</v>
      </c>
      <c r="D1300" s="2" t="s">
        <v>89</v>
      </c>
      <c r="E1300" s="15" t="s">
        <v>183</v>
      </c>
      <c r="F1300" t="s">
        <v>170</v>
      </c>
      <c r="G1300" s="2" t="str">
        <f t="shared" si="20"/>
        <v>Medium</v>
      </c>
      <c r="H1300" s="3">
        <v>3657</v>
      </c>
      <c r="I1300" s="4">
        <v>1.3</v>
      </c>
      <c r="J1300" s="5">
        <v>58828.958982772761</v>
      </c>
      <c r="K1300" s="6">
        <v>9.2194578459897803E-3</v>
      </c>
      <c r="L1300" s="5">
        <v>569.91620180475797</v>
      </c>
      <c r="M1300" s="5">
        <v>1401.771944216571</v>
      </c>
      <c r="N1300" s="11">
        <v>1588.4314465408804</v>
      </c>
      <c r="O1300" s="13">
        <v>2024</v>
      </c>
    </row>
    <row r="1301" spans="1:15" ht="14.5" customHeight="1" x14ac:dyDescent="0.35">
      <c r="A1301" s="20" t="s">
        <v>2596</v>
      </c>
      <c r="B1301" s="2" t="s">
        <v>2597</v>
      </c>
      <c r="C1301" s="17" t="s">
        <v>3109</v>
      </c>
      <c r="D1301" s="2" t="s">
        <v>46</v>
      </c>
      <c r="E1301" s="15" t="s">
        <v>214</v>
      </c>
      <c r="F1301" t="s">
        <v>170</v>
      </c>
      <c r="G1301" s="2" t="str">
        <f t="shared" si="20"/>
        <v>Medium</v>
      </c>
      <c r="H1301" s="3">
        <v>2415</v>
      </c>
      <c r="I1301" s="4">
        <v>0.9</v>
      </c>
      <c r="J1301" s="5">
        <v>37234.719254658383</v>
      </c>
      <c r="K1301" s="6">
        <v>1.4563079426070954E-2</v>
      </c>
      <c r="L1301" s="5">
        <v>678.09233954451349</v>
      </c>
      <c r="M1301" s="5">
        <v>4600.6662525879919</v>
      </c>
      <c r="N1301" s="11">
        <v>1766.5337474120083</v>
      </c>
      <c r="O1301" s="13">
        <v>2024</v>
      </c>
    </row>
    <row r="1302" spans="1:15" ht="14.5" customHeight="1" x14ac:dyDescent="0.35">
      <c r="A1302" s="20" t="s">
        <v>2598</v>
      </c>
      <c r="B1302" s="2" t="s">
        <v>2599</v>
      </c>
      <c r="C1302" s="17" t="s">
        <v>3109</v>
      </c>
      <c r="D1302" s="2" t="s">
        <v>53</v>
      </c>
      <c r="E1302" s="15" t="s">
        <v>207</v>
      </c>
      <c r="F1302" t="s">
        <v>208</v>
      </c>
      <c r="G1302" s="2" t="str">
        <f t="shared" si="20"/>
        <v>Medium</v>
      </c>
      <c r="H1302" s="3">
        <v>9343</v>
      </c>
      <c r="I1302" s="4">
        <v>3.5</v>
      </c>
      <c r="J1302" s="5">
        <v>120648.26950658247</v>
      </c>
      <c r="K1302" s="6">
        <v>6.9689459875341003E-3</v>
      </c>
      <c r="L1302" s="5">
        <v>1085.9410596168254</v>
      </c>
      <c r="M1302" s="5">
        <v>1130.9415808626779</v>
      </c>
      <c r="N1302" s="11">
        <v>2027.3958889007813</v>
      </c>
      <c r="O1302" s="13">
        <v>2024</v>
      </c>
    </row>
    <row r="1303" spans="1:15" ht="14.5" customHeight="1" x14ac:dyDescent="0.35">
      <c r="A1303" s="20" t="s">
        <v>2600</v>
      </c>
      <c r="B1303" s="2" t="s">
        <v>2601</v>
      </c>
      <c r="C1303" s="17" t="s">
        <v>3109</v>
      </c>
      <c r="D1303" s="2" t="s">
        <v>513</v>
      </c>
      <c r="E1303" s="15" t="s">
        <v>207</v>
      </c>
      <c r="F1303" t="s">
        <v>208</v>
      </c>
      <c r="G1303" s="2" t="str">
        <f t="shared" si="20"/>
        <v>Medium</v>
      </c>
      <c r="H1303" s="3">
        <v>4507</v>
      </c>
      <c r="I1303" s="4">
        <v>4.4000000000000004</v>
      </c>
      <c r="J1303" s="5">
        <v>299247.05458176171</v>
      </c>
      <c r="K1303" s="6">
        <v>9.4977152089375106E-4</v>
      </c>
      <c r="L1303" s="5">
        <v>371.3268249389838</v>
      </c>
      <c r="M1303" s="5">
        <v>261.81495451519856</v>
      </c>
      <c r="N1303" s="11">
        <v>701.25737741291323</v>
      </c>
      <c r="O1303" s="13">
        <v>2024</v>
      </c>
    </row>
    <row r="1304" spans="1:15" ht="14.5" customHeight="1" x14ac:dyDescent="0.35">
      <c r="A1304" s="20" t="s">
        <v>2602</v>
      </c>
      <c r="B1304" s="2" t="s">
        <v>2603</v>
      </c>
      <c r="C1304" s="17" t="s">
        <v>3109</v>
      </c>
      <c r="D1304" s="2" t="s">
        <v>53</v>
      </c>
      <c r="E1304" s="15" t="s">
        <v>207</v>
      </c>
      <c r="F1304" t="s">
        <v>208</v>
      </c>
      <c r="G1304" s="2" t="str">
        <f t="shared" si="20"/>
        <v>Medium</v>
      </c>
      <c r="H1304" s="3">
        <v>3834</v>
      </c>
      <c r="I1304" s="4">
        <v>1.4</v>
      </c>
      <c r="J1304" s="5">
        <v>102972.74752217006</v>
      </c>
      <c r="K1304" s="6">
        <v>8.2393933210025225E-3</v>
      </c>
      <c r="L1304" s="5">
        <v>1098.1439749608764</v>
      </c>
      <c r="M1304" s="5">
        <v>375.58685446009389</v>
      </c>
      <c r="N1304" s="11">
        <v>1535.8429838288994</v>
      </c>
      <c r="O1304" s="13">
        <v>2024</v>
      </c>
    </row>
    <row r="1305" spans="1:15" ht="14.5" customHeight="1" x14ac:dyDescent="0.35">
      <c r="A1305" s="20" t="s">
        <v>2604</v>
      </c>
      <c r="B1305" s="2" t="s">
        <v>2605</v>
      </c>
      <c r="C1305" s="17" t="s">
        <v>3109</v>
      </c>
      <c r="D1305" s="2" t="s">
        <v>324</v>
      </c>
      <c r="E1305" s="15" t="s">
        <v>207</v>
      </c>
      <c r="F1305" t="s">
        <v>208</v>
      </c>
      <c r="G1305" s="2" t="str">
        <f t="shared" si="20"/>
        <v>Medium</v>
      </c>
      <c r="H1305" s="3">
        <v>7173</v>
      </c>
      <c r="I1305" s="4">
        <v>4</v>
      </c>
      <c r="J1305" s="5">
        <v>60885.063153492265</v>
      </c>
      <c r="K1305" s="6" t="s">
        <v>27</v>
      </c>
      <c r="L1305" s="5">
        <v>0</v>
      </c>
      <c r="M1305" s="5">
        <v>0</v>
      </c>
      <c r="N1305" s="11">
        <v>0</v>
      </c>
      <c r="O1305" s="13">
        <v>2024</v>
      </c>
    </row>
    <row r="1306" spans="1:15" ht="14.5" customHeight="1" x14ac:dyDescent="0.35">
      <c r="A1306" s="20" t="s">
        <v>2606</v>
      </c>
      <c r="B1306" s="2" t="s">
        <v>2607</v>
      </c>
      <c r="C1306" s="17" t="s">
        <v>3109</v>
      </c>
      <c r="D1306" s="2" t="s">
        <v>451</v>
      </c>
      <c r="E1306" s="15" t="s">
        <v>173</v>
      </c>
      <c r="F1306" t="s">
        <v>170</v>
      </c>
      <c r="G1306" s="2" t="str">
        <f t="shared" si="20"/>
        <v>Medium</v>
      </c>
      <c r="H1306" s="3">
        <v>1635</v>
      </c>
      <c r="I1306" s="4">
        <v>3</v>
      </c>
      <c r="J1306" s="5">
        <v>50873.259327217129</v>
      </c>
      <c r="K1306" s="6" t="s">
        <v>27</v>
      </c>
      <c r="L1306" s="5">
        <v>0</v>
      </c>
      <c r="M1306" s="5">
        <v>0</v>
      </c>
      <c r="N1306" s="11">
        <v>0</v>
      </c>
      <c r="O1306" s="13">
        <v>2024</v>
      </c>
    </row>
    <row r="1307" spans="1:15" ht="14.5" customHeight="1" x14ac:dyDescent="0.35">
      <c r="A1307" s="20" t="s">
        <v>2608</v>
      </c>
      <c r="B1307" s="2" t="s">
        <v>2609</v>
      </c>
      <c r="C1307" s="17" t="s">
        <v>3109</v>
      </c>
      <c r="D1307" s="2" t="s">
        <v>5</v>
      </c>
      <c r="E1307" s="15" t="s">
        <v>183</v>
      </c>
      <c r="F1307" t="s">
        <v>170</v>
      </c>
      <c r="G1307" s="2" t="str">
        <f t="shared" si="20"/>
        <v>Medium</v>
      </c>
      <c r="H1307" s="3">
        <v>1224</v>
      </c>
      <c r="I1307" s="4">
        <v>1.7</v>
      </c>
      <c r="J1307" s="5">
        <v>64686.296568627447</v>
      </c>
      <c r="K1307" s="6">
        <v>5.8116168167922852E-3</v>
      </c>
      <c r="L1307" s="5">
        <v>633.97830065359483</v>
      </c>
      <c r="M1307" s="5">
        <v>921.09549836601298</v>
      </c>
      <c r="N1307" s="11">
        <v>1646.5293872549018</v>
      </c>
      <c r="O1307" s="13">
        <v>2024</v>
      </c>
    </row>
    <row r="1308" spans="1:15" ht="14.5" customHeight="1" x14ac:dyDescent="0.35">
      <c r="A1308" s="20" t="s">
        <v>2610</v>
      </c>
      <c r="B1308" s="2" t="s">
        <v>2611</v>
      </c>
      <c r="C1308" s="17" t="s">
        <v>3109</v>
      </c>
      <c r="D1308" s="2" t="s">
        <v>69</v>
      </c>
      <c r="E1308" s="15" t="s">
        <v>173</v>
      </c>
      <c r="F1308" t="s">
        <v>170</v>
      </c>
      <c r="G1308" s="2" t="str">
        <f t="shared" si="20"/>
        <v>Small</v>
      </c>
      <c r="H1308" s="3">
        <v>486</v>
      </c>
      <c r="I1308" s="4">
        <v>0.8</v>
      </c>
      <c r="J1308" s="5">
        <v>59447.111111111109</v>
      </c>
      <c r="K1308" s="6">
        <v>6.0011305827194468E-3</v>
      </c>
      <c r="L1308" s="5">
        <v>439.86370370370372</v>
      </c>
      <c r="M1308" s="5">
        <v>2993.8271604938273</v>
      </c>
      <c r="N1308" s="11">
        <v>919.53349794238693</v>
      </c>
      <c r="O1308" s="13">
        <v>2024</v>
      </c>
    </row>
    <row r="1309" spans="1:15" ht="14.5" customHeight="1" x14ac:dyDescent="0.35">
      <c r="A1309" s="20" t="s">
        <v>2612</v>
      </c>
      <c r="B1309" s="2" t="s">
        <v>2613</v>
      </c>
      <c r="C1309" s="17" t="s">
        <v>3109</v>
      </c>
      <c r="D1309" s="2" t="s">
        <v>67</v>
      </c>
      <c r="E1309" s="15" t="s">
        <v>183</v>
      </c>
      <c r="F1309" t="s">
        <v>170</v>
      </c>
      <c r="G1309" s="2" t="str">
        <f t="shared" si="20"/>
        <v>Medium</v>
      </c>
      <c r="H1309" s="3">
        <v>1633</v>
      </c>
      <c r="I1309" s="4">
        <v>1.2</v>
      </c>
      <c r="J1309" s="5">
        <v>23847.558481322718</v>
      </c>
      <c r="K1309" s="6">
        <v>5.1490004779541866E-3</v>
      </c>
      <c r="L1309" s="5">
        <v>233.20475811390077</v>
      </c>
      <c r="M1309" s="5">
        <v>973.1569197795468</v>
      </c>
      <c r="N1309" s="11">
        <v>670.895437844458</v>
      </c>
      <c r="O1309" s="13">
        <v>2024</v>
      </c>
    </row>
    <row r="1310" spans="1:15" ht="14.5" customHeight="1" x14ac:dyDescent="0.35">
      <c r="A1310" s="20" t="s">
        <v>2614</v>
      </c>
      <c r="B1310" s="2" t="s">
        <v>2615</v>
      </c>
      <c r="C1310" s="17" t="s">
        <v>3109</v>
      </c>
      <c r="D1310" s="2" t="s">
        <v>55</v>
      </c>
      <c r="E1310" s="15" t="s">
        <v>207</v>
      </c>
      <c r="F1310" t="s">
        <v>208</v>
      </c>
      <c r="G1310" s="2" t="str">
        <f t="shared" si="20"/>
        <v>Medium</v>
      </c>
      <c r="H1310" s="3">
        <v>10959</v>
      </c>
      <c r="I1310" s="4">
        <v>3</v>
      </c>
      <c r="J1310" s="5">
        <v>185935.18578337439</v>
      </c>
      <c r="K1310" s="6">
        <v>8.0265747443866355E-3</v>
      </c>
      <c r="L1310" s="5">
        <v>1846.391915320741</v>
      </c>
      <c r="M1310" s="5">
        <v>5880.5547951455428</v>
      </c>
      <c r="N1310" s="11">
        <v>4200.8389451592302</v>
      </c>
      <c r="O1310" s="13">
        <v>2024</v>
      </c>
    </row>
    <row r="1311" spans="1:15" ht="14.5" customHeight="1" x14ac:dyDescent="0.35">
      <c r="A1311" s="20" t="s">
        <v>2616</v>
      </c>
      <c r="B1311" s="2" t="s">
        <v>2617</v>
      </c>
      <c r="C1311" s="17" t="s">
        <v>3109</v>
      </c>
      <c r="D1311" s="2" t="s">
        <v>269</v>
      </c>
      <c r="E1311" s="15" t="s">
        <v>178</v>
      </c>
      <c r="F1311" t="s">
        <v>170</v>
      </c>
      <c r="G1311" s="2" t="str">
        <f t="shared" si="20"/>
        <v>Medium</v>
      </c>
      <c r="H1311" s="3">
        <v>2898</v>
      </c>
      <c r="I1311" s="4">
        <v>2.1</v>
      </c>
      <c r="J1311" s="5">
        <v>39375.687025534855</v>
      </c>
      <c r="K1311" s="6">
        <v>1.2267118658006084E-2</v>
      </c>
      <c r="L1311" s="5">
        <v>540.43685300207039</v>
      </c>
      <c r="M1311" s="5">
        <v>770.43305728088342</v>
      </c>
      <c r="N1311" s="11">
        <v>1212.6138716356108</v>
      </c>
      <c r="O1311" s="13">
        <v>2024</v>
      </c>
    </row>
    <row r="1312" spans="1:15" ht="14.5" customHeight="1" x14ac:dyDescent="0.35">
      <c r="A1312" s="20" t="s">
        <v>2618</v>
      </c>
      <c r="B1312" s="2" t="s">
        <v>2619</v>
      </c>
      <c r="C1312" s="17" t="s">
        <v>3109</v>
      </c>
      <c r="D1312" s="2" t="s">
        <v>67</v>
      </c>
      <c r="E1312" s="15" t="s">
        <v>183</v>
      </c>
      <c r="F1312" t="s">
        <v>170</v>
      </c>
      <c r="G1312" s="2" t="str">
        <f t="shared" si="20"/>
        <v>Small</v>
      </c>
      <c r="H1312" s="3">
        <v>454</v>
      </c>
      <c r="I1312" s="4">
        <v>0.9</v>
      </c>
      <c r="J1312" s="5">
        <v>44186.455947136565</v>
      </c>
      <c r="K1312" s="6">
        <v>2.4937376159926217E-3</v>
      </c>
      <c r="L1312" s="5">
        <v>297.04585903083699</v>
      </c>
      <c r="M1312" s="5">
        <v>602.91094713656389</v>
      </c>
      <c r="N1312" s="11">
        <v>484.19753303964757</v>
      </c>
      <c r="O1312" s="13">
        <v>2024</v>
      </c>
    </row>
    <row r="1313" spans="1:15" ht="14.5" customHeight="1" x14ac:dyDescent="0.35">
      <c r="A1313" s="20" t="s">
        <v>2620</v>
      </c>
      <c r="B1313" s="2" t="s">
        <v>2621</v>
      </c>
      <c r="C1313" s="17" t="s">
        <v>3109</v>
      </c>
      <c r="D1313" s="2" t="s">
        <v>30</v>
      </c>
      <c r="E1313" s="15" t="s">
        <v>273</v>
      </c>
      <c r="F1313" t="s">
        <v>208</v>
      </c>
      <c r="G1313" s="2" t="str">
        <f t="shared" si="20"/>
        <v>Medium</v>
      </c>
      <c r="H1313" s="3">
        <v>2809</v>
      </c>
      <c r="I1313" s="4">
        <v>0.5</v>
      </c>
      <c r="J1313" s="5">
        <v>380309.00676397292</v>
      </c>
      <c r="K1313" s="6">
        <v>1.2463727009944885E-3</v>
      </c>
      <c r="L1313" s="5">
        <v>505.18511925952293</v>
      </c>
      <c r="M1313" s="5">
        <v>0</v>
      </c>
      <c r="N1313" s="11">
        <v>656.71520113919541</v>
      </c>
      <c r="O1313" s="13">
        <v>2024</v>
      </c>
    </row>
    <row r="1314" spans="1:15" ht="14.5" customHeight="1" x14ac:dyDescent="0.35">
      <c r="A1314" s="20" t="s">
        <v>2622</v>
      </c>
      <c r="B1314" s="2" t="s">
        <v>2623</v>
      </c>
      <c r="C1314" s="17" t="s">
        <v>3109</v>
      </c>
      <c r="D1314" s="2" t="s">
        <v>30</v>
      </c>
      <c r="E1314" s="15" t="s">
        <v>273</v>
      </c>
      <c r="F1314" t="s">
        <v>208</v>
      </c>
      <c r="G1314" s="2" t="str">
        <f t="shared" si="20"/>
        <v>Medium</v>
      </c>
      <c r="H1314" s="3">
        <v>3512</v>
      </c>
      <c r="I1314" s="4">
        <v>6.1</v>
      </c>
      <c r="J1314" s="5">
        <v>672695.93308656034</v>
      </c>
      <c r="K1314" s="6">
        <v>1.6158907444718846E-3</v>
      </c>
      <c r="L1314" s="5">
        <v>1150.5159453302961</v>
      </c>
      <c r="M1314" s="5">
        <v>0</v>
      </c>
      <c r="N1314" s="11">
        <v>1957.0532460136674</v>
      </c>
      <c r="O1314" s="13">
        <v>2024</v>
      </c>
    </row>
    <row r="1315" spans="1:15" ht="14.5" customHeight="1" x14ac:dyDescent="0.35">
      <c r="A1315" s="20" t="s">
        <v>2624</v>
      </c>
      <c r="B1315" s="2" t="s">
        <v>2625</v>
      </c>
      <c r="C1315" s="17" t="s">
        <v>3109</v>
      </c>
      <c r="D1315" s="2" t="s">
        <v>15</v>
      </c>
      <c r="E1315" s="15" t="s">
        <v>178</v>
      </c>
      <c r="F1315" t="s">
        <v>170</v>
      </c>
      <c r="G1315" s="2" t="str">
        <f t="shared" si="20"/>
        <v>Small</v>
      </c>
      <c r="H1315" s="3">
        <v>931</v>
      </c>
      <c r="I1315" s="4">
        <v>1</v>
      </c>
      <c r="J1315" s="5">
        <v>74488.604726100966</v>
      </c>
      <c r="K1315" s="6">
        <v>5.0358218417652844E-3</v>
      </c>
      <c r="L1315" s="5">
        <v>803.60831364124601</v>
      </c>
      <c r="M1315" s="5">
        <v>7152.1872610096671</v>
      </c>
      <c r="N1315" s="11">
        <v>1822.8216219119226</v>
      </c>
      <c r="O1315" s="13">
        <v>2024</v>
      </c>
    </row>
    <row r="1316" spans="1:15" ht="14.5" customHeight="1" x14ac:dyDescent="0.35">
      <c r="A1316" s="20" t="s">
        <v>2626</v>
      </c>
      <c r="B1316" s="2" t="s">
        <v>2627</v>
      </c>
      <c r="C1316" s="17" t="s">
        <v>3109</v>
      </c>
      <c r="D1316" s="2" t="s">
        <v>77</v>
      </c>
      <c r="E1316" s="15" t="s">
        <v>217</v>
      </c>
      <c r="F1316" t="s">
        <v>170</v>
      </c>
      <c r="G1316" s="2" t="str">
        <f t="shared" si="20"/>
        <v>Medium</v>
      </c>
      <c r="H1316" s="3">
        <v>1103</v>
      </c>
      <c r="I1316" s="4">
        <v>0.7</v>
      </c>
      <c r="J1316" s="5">
        <v>70039.691749773352</v>
      </c>
      <c r="K1316" s="6">
        <v>4.7246879052390703E-3</v>
      </c>
      <c r="L1316" s="5">
        <v>461.22984587488662</v>
      </c>
      <c r="M1316" s="5">
        <v>132.56283771532185</v>
      </c>
      <c r="N1316" s="11">
        <v>802.51731640979142</v>
      </c>
      <c r="O1316" s="13">
        <v>2024</v>
      </c>
    </row>
    <row r="1317" spans="1:15" ht="14.5" customHeight="1" x14ac:dyDescent="0.35">
      <c r="A1317" s="20" t="s">
        <v>2628</v>
      </c>
      <c r="B1317" s="2" t="s">
        <v>2629</v>
      </c>
      <c r="C1317" s="17" t="s">
        <v>3109</v>
      </c>
      <c r="D1317" s="2" t="s">
        <v>3</v>
      </c>
      <c r="E1317" s="15" t="s">
        <v>214</v>
      </c>
      <c r="F1317" t="s">
        <v>170</v>
      </c>
      <c r="G1317" s="2" t="str">
        <f t="shared" ref="G1317:G1380" si="21">IF(H1317&lt;=1000,"Small",IF(H1317&lt;=11000,"Medium",IF(H1317&gt;=11000,"Large")))</f>
        <v>Small</v>
      </c>
      <c r="H1317" s="3">
        <v>555</v>
      </c>
      <c r="I1317" s="4">
        <v>1.1000000000000001</v>
      </c>
      <c r="J1317" s="5">
        <v>59421.981981981982</v>
      </c>
      <c r="K1317" s="6">
        <v>4.61078497962352E-3</v>
      </c>
      <c r="L1317" s="5">
        <v>597.59819819819825</v>
      </c>
      <c r="M1317" s="5">
        <v>0</v>
      </c>
      <c r="N1317" s="11">
        <v>961.09009009009014</v>
      </c>
      <c r="O1317" s="13">
        <v>2024</v>
      </c>
    </row>
    <row r="1318" spans="1:15" ht="14.5" customHeight="1" x14ac:dyDescent="0.35">
      <c r="A1318" s="20" t="s">
        <v>2630</v>
      </c>
      <c r="B1318" s="2" t="s">
        <v>2631</v>
      </c>
      <c r="C1318" s="17" t="s">
        <v>3109</v>
      </c>
      <c r="D1318" s="2" t="s">
        <v>438</v>
      </c>
      <c r="E1318" s="15" t="s">
        <v>207</v>
      </c>
      <c r="F1318" t="s">
        <v>208</v>
      </c>
      <c r="G1318" s="2" t="str">
        <f t="shared" si="21"/>
        <v>Small</v>
      </c>
      <c r="H1318" s="3">
        <v>624</v>
      </c>
      <c r="I1318" s="4">
        <v>1</v>
      </c>
      <c r="J1318" s="5">
        <v>195792.50961538462</v>
      </c>
      <c r="K1318" s="6">
        <v>2.4587754078947682E-3</v>
      </c>
      <c r="L1318" s="5">
        <v>496.96762820512816</v>
      </c>
      <c r="M1318" s="5">
        <v>0</v>
      </c>
      <c r="N1318" s="11">
        <v>717.5957852564103</v>
      </c>
      <c r="O1318" s="13">
        <v>2024</v>
      </c>
    </row>
    <row r="1319" spans="1:15" ht="14.5" customHeight="1" x14ac:dyDescent="0.35">
      <c r="A1319" s="20" t="s">
        <v>2632</v>
      </c>
      <c r="B1319" s="2" t="s">
        <v>2633</v>
      </c>
      <c r="C1319" s="17" t="s">
        <v>3109</v>
      </c>
      <c r="D1319" s="2" t="s">
        <v>61</v>
      </c>
      <c r="E1319" s="15" t="s">
        <v>173</v>
      </c>
      <c r="F1319" t="s">
        <v>170</v>
      </c>
      <c r="G1319" s="2" t="str">
        <f t="shared" si="21"/>
        <v>Small</v>
      </c>
      <c r="H1319" s="3">
        <v>901</v>
      </c>
      <c r="I1319" s="4">
        <v>1.1000000000000001</v>
      </c>
      <c r="J1319" s="5">
        <v>41828.381798002221</v>
      </c>
      <c r="K1319" s="6">
        <v>1.081014961722457E-2</v>
      </c>
      <c r="L1319" s="5">
        <v>574.60349611542733</v>
      </c>
      <c r="M1319" s="5">
        <v>294.11764705882354</v>
      </c>
      <c r="N1319" s="11">
        <v>1555.8651609322974</v>
      </c>
      <c r="O1319" s="13">
        <v>2024</v>
      </c>
    </row>
    <row r="1320" spans="1:15" ht="14.5" customHeight="1" x14ac:dyDescent="0.35">
      <c r="A1320" s="20" t="s">
        <v>2634</v>
      </c>
      <c r="B1320" s="2" t="s">
        <v>2635</v>
      </c>
      <c r="C1320" s="17" t="s">
        <v>3109</v>
      </c>
      <c r="D1320" s="2" t="s">
        <v>81</v>
      </c>
      <c r="E1320" s="15" t="s">
        <v>214</v>
      </c>
      <c r="F1320" t="s">
        <v>170</v>
      </c>
      <c r="G1320" s="2" t="str">
        <f t="shared" si="21"/>
        <v>Medium</v>
      </c>
      <c r="H1320" s="3">
        <v>1859</v>
      </c>
      <c r="I1320" s="4">
        <v>0.6</v>
      </c>
      <c r="J1320" s="5">
        <v>86507.325981710601</v>
      </c>
      <c r="K1320" s="6">
        <v>2.5769209309115899E-3</v>
      </c>
      <c r="L1320" s="5">
        <v>628.85637439483594</v>
      </c>
      <c r="M1320" s="5">
        <v>1405.8286067778374</v>
      </c>
      <c r="N1320" s="11">
        <v>1470.466917697687</v>
      </c>
      <c r="O1320" s="13">
        <v>2024</v>
      </c>
    </row>
    <row r="1321" spans="1:15" ht="14.5" customHeight="1" x14ac:dyDescent="0.35">
      <c r="A1321" s="20" t="s">
        <v>2636</v>
      </c>
      <c r="B1321" s="2" t="s">
        <v>2637</v>
      </c>
      <c r="C1321" s="17" t="s">
        <v>3109</v>
      </c>
      <c r="D1321" s="2" t="s">
        <v>513</v>
      </c>
      <c r="E1321" s="15" t="s">
        <v>207</v>
      </c>
      <c r="F1321" t="s">
        <v>208</v>
      </c>
      <c r="G1321" s="2" t="str">
        <f t="shared" si="21"/>
        <v>Medium</v>
      </c>
      <c r="H1321" s="3">
        <v>5463</v>
      </c>
      <c r="I1321" s="4">
        <v>2.9</v>
      </c>
      <c r="J1321" s="5">
        <v>180510.19439868204</v>
      </c>
      <c r="K1321" s="6">
        <v>4.3998482500014061E-4</v>
      </c>
      <c r="L1321" s="5">
        <v>142.75032033681128</v>
      </c>
      <c r="M1321" s="5">
        <v>109.82976386600768</v>
      </c>
      <c r="N1321" s="11">
        <v>367.33003844041735</v>
      </c>
      <c r="O1321" s="13">
        <v>2024</v>
      </c>
    </row>
    <row r="1322" spans="1:15" ht="14.5" customHeight="1" x14ac:dyDescent="0.35">
      <c r="A1322" s="20" t="s">
        <v>2638</v>
      </c>
      <c r="B1322" s="2" t="s">
        <v>2639</v>
      </c>
      <c r="C1322" s="17" t="s">
        <v>3109</v>
      </c>
      <c r="D1322" s="2" t="s">
        <v>30</v>
      </c>
      <c r="E1322" s="15" t="s">
        <v>273</v>
      </c>
      <c r="F1322" t="s">
        <v>208</v>
      </c>
      <c r="G1322" s="2" t="str">
        <f t="shared" si="21"/>
        <v>Medium</v>
      </c>
      <c r="H1322" s="3">
        <v>10257</v>
      </c>
      <c r="I1322" s="4">
        <v>0.9</v>
      </c>
      <c r="J1322" s="5">
        <v>220689.80081895291</v>
      </c>
      <c r="K1322" s="6">
        <v>2.3729323754120768E-3</v>
      </c>
      <c r="L1322" s="5">
        <v>553.15228624354097</v>
      </c>
      <c r="M1322" s="5">
        <v>323.94725553280688</v>
      </c>
      <c r="N1322" s="11">
        <v>994.54119138149554</v>
      </c>
      <c r="O1322" s="13">
        <v>2024</v>
      </c>
    </row>
    <row r="1323" spans="1:15" ht="14.5" customHeight="1" x14ac:dyDescent="0.35">
      <c r="A1323" s="20" t="s">
        <v>2640</v>
      </c>
      <c r="B1323" s="2" t="s">
        <v>2641</v>
      </c>
      <c r="C1323" s="17" t="s">
        <v>3109</v>
      </c>
      <c r="D1323" s="2" t="s">
        <v>43</v>
      </c>
      <c r="E1323" s="15" t="s">
        <v>207</v>
      </c>
      <c r="F1323" t="s">
        <v>208</v>
      </c>
      <c r="G1323" s="2" t="str">
        <f t="shared" si="21"/>
        <v>Medium</v>
      </c>
      <c r="H1323" s="3">
        <v>7324</v>
      </c>
      <c r="I1323" s="4">
        <v>1.7</v>
      </c>
      <c r="J1323" s="5">
        <v>56860.630529765156</v>
      </c>
      <c r="K1323" s="6">
        <v>3.7298744802877295E-3</v>
      </c>
      <c r="L1323" s="5">
        <v>259.99426542872749</v>
      </c>
      <c r="M1323" s="5">
        <v>1295.6471873293283</v>
      </c>
      <c r="N1323" s="11">
        <v>1280.6686237028946</v>
      </c>
      <c r="O1323" s="13">
        <v>2024</v>
      </c>
    </row>
    <row r="1324" spans="1:15" ht="14.5" customHeight="1" x14ac:dyDescent="0.35">
      <c r="A1324" s="20" t="s">
        <v>2642</v>
      </c>
      <c r="B1324" s="2" t="s">
        <v>2643</v>
      </c>
      <c r="C1324" s="17" t="s">
        <v>3109</v>
      </c>
      <c r="D1324" s="2" t="s">
        <v>513</v>
      </c>
      <c r="E1324" s="15" t="s">
        <v>207</v>
      </c>
      <c r="F1324" t="s">
        <v>208</v>
      </c>
      <c r="G1324" s="2" t="str">
        <f t="shared" si="21"/>
        <v>Medium</v>
      </c>
      <c r="H1324" s="3">
        <v>9679</v>
      </c>
      <c r="I1324" s="4">
        <v>0.4</v>
      </c>
      <c r="J1324" s="5">
        <v>39474.699039156934</v>
      </c>
      <c r="K1324" s="6">
        <v>1.5450004696976054E-3</v>
      </c>
      <c r="L1324" s="5">
        <v>98.431242896993496</v>
      </c>
      <c r="M1324" s="5">
        <v>132.63219340840996</v>
      </c>
      <c r="N1324" s="11">
        <v>573.49891517718777</v>
      </c>
      <c r="O1324" s="13">
        <v>2024</v>
      </c>
    </row>
    <row r="1325" spans="1:15" ht="14.5" customHeight="1" x14ac:dyDescent="0.35">
      <c r="A1325" s="20" t="s">
        <v>2644</v>
      </c>
      <c r="B1325" s="2" t="s">
        <v>2645</v>
      </c>
      <c r="C1325" s="17" t="s">
        <v>3109</v>
      </c>
      <c r="D1325" s="2" t="s">
        <v>81</v>
      </c>
      <c r="E1325" s="15" t="s">
        <v>214</v>
      </c>
      <c r="F1325" t="s">
        <v>170</v>
      </c>
      <c r="G1325" s="2" t="str">
        <f t="shared" si="21"/>
        <v>Medium</v>
      </c>
      <c r="H1325" s="3">
        <v>3244</v>
      </c>
      <c r="I1325" s="4">
        <v>1.2</v>
      </c>
      <c r="J1325" s="5">
        <v>61214.408446362519</v>
      </c>
      <c r="K1325" s="6">
        <v>5.3116931617844757E-3</v>
      </c>
      <c r="L1325" s="5">
        <v>629.33692663378542</v>
      </c>
      <c r="M1325" s="5">
        <v>0</v>
      </c>
      <c r="N1325" s="11">
        <v>968.52612823674474</v>
      </c>
      <c r="O1325" s="13">
        <v>2024</v>
      </c>
    </row>
    <row r="1326" spans="1:15" ht="14.5" customHeight="1" x14ac:dyDescent="0.35">
      <c r="A1326" s="20" t="s">
        <v>2646</v>
      </c>
      <c r="B1326" s="2" t="s">
        <v>2647</v>
      </c>
      <c r="C1326" s="17" t="s">
        <v>3109</v>
      </c>
      <c r="D1326" s="2" t="s">
        <v>234</v>
      </c>
      <c r="E1326" s="15" t="s">
        <v>178</v>
      </c>
      <c r="F1326" t="s">
        <v>170</v>
      </c>
      <c r="G1326" s="2" t="str">
        <f t="shared" si="21"/>
        <v>Medium</v>
      </c>
      <c r="H1326" s="3">
        <v>9017</v>
      </c>
      <c r="I1326" s="4">
        <v>5.4</v>
      </c>
      <c r="J1326" s="5">
        <v>51087.105800155259</v>
      </c>
      <c r="K1326" s="6">
        <v>9.7769981820545384E-3</v>
      </c>
      <c r="L1326" s="5">
        <v>644.10253299323506</v>
      </c>
      <c r="M1326" s="5">
        <v>2732.8108284351779</v>
      </c>
      <c r="N1326" s="11">
        <v>1601.80598979705</v>
      </c>
      <c r="O1326" s="13">
        <v>2024</v>
      </c>
    </row>
    <row r="1327" spans="1:15" ht="14.5" customHeight="1" x14ac:dyDescent="0.35">
      <c r="A1327" s="20" t="s">
        <v>2648</v>
      </c>
      <c r="B1327" s="2" t="s">
        <v>2649</v>
      </c>
      <c r="C1327" s="17" t="s">
        <v>3109</v>
      </c>
      <c r="D1327" s="2" t="s">
        <v>292</v>
      </c>
      <c r="E1327" s="15" t="s">
        <v>173</v>
      </c>
      <c r="F1327" t="s">
        <v>170</v>
      </c>
      <c r="G1327" s="2" t="str">
        <f t="shared" si="21"/>
        <v>Small</v>
      </c>
      <c r="H1327" s="3">
        <v>928</v>
      </c>
      <c r="I1327" s="4">
        <v>1</v>
      </c>
      <c r="J1327" s="5">
        <v>43233.984913793101</v>
      </c>
      <c r="K1327" s="6">
        <v>7.4506111965218936E-3</v>
      </c>
      <c r="L1327" s="5">
        <v>489.52619612068969</v>
      </c>
      <c r="M1327" s="5">
        <v>1511.1433189655172</v>
      </c>
      <c r="N1327" s="11">
        <v>982.50796336206895</v>
      </c>
      <c r="O1327" s="13">
        <v>2024</v>
      </c>
    </row>
    <row r="1328" spans="1:15" ht="14.5" customHeight="1" x14ac:dyDescent="0.35">
      <c r="A1328" s="20" t="s">
        <v>2650</v>
      </c>
      <c r="B1328" s="2" t="s">
        <v>2651</v>
      </c>
      <c r="C1328" s="17" t="s">
        <v>3109</v>
      </c>
      <c r="D1328" s="2" t="s">
        <v>46</v>
      </c>
      <c r="E1328" s="15" t="s">
        <v>214</v>
      </c>
      <c r="F1328" t="s">
        <v>170</v>
      </c>
      <c r="G1328" s="2" t="str">
        <f t="shared" si="21"/>
        <v>Small</v>
      </c>
      <c r="H1328" s="3">
        <v>543</v>
      </c>
      <c r="I1328" s="4">
        <v>0.5</v>
      </c>
      <c r="J1328" s="5">
        <v>59961.165745856357</v>
      </c>
      <c r="K1328" s="6">
        <v>2.4293808580157449E-3</v>
      </c>
      <c r="L1328" s="5">
        <v>295.7985451197053</v>
      </c>
      <c r="M1328" s="5">
        <v>1025.5764272559852</v>
      </c>
      <c r="N1328" s="11">
        <v>1276.0274033149171</v>
      </c>
      <c r="O1328" s="13">
        <v>2024</v>
      </c>
    </row>
    <row r="1329" spans="1:15" ht="14.5" customHeight="1" x14ac:dyDescent="0.35">
      <c r="A1329" s="20" t="s">
        <v>2652</v>
      </c>
      <c r="B1329" s="2" t="s">
        <v>2653</v>
      </c>
      <c r="C1329" s="17" t="s">
        <v>3109</v>
      </c>
      <c r="D1329" s="2" t="s">
        <v>292</v>
      </c>
      <c r="E1329" s="15" t="s">
        <v>173</v>
      </c>
      <c r="F1329" t="s">
        <v>170</v>
      </c>
      <c r="G1329" s="2" t="str">
        <f t="shared" si="21"/>
        <v>Small</v>
      </c>
      <c r="H1329" s="3">
        <v>457</v>
      </c>
      <c r="I1329" s="4">
        <v>0.5</v>
      </c>
      <c r="J1329" s="5">
        <v>45543.288840262583</v>
      </c>
      <c r="K1329" s="6">
        <v>2.5972409062039849E-3</v>
      </c>
      <c r="L1329" s="5">
        <v>254.15927789934352</v>
      </c>
      <c r="M1329" s="5">
        <v>0</v>
      </c>
      <c r="N1329" s="11">
        <v>669.49536105032826</v>
      </c>
      <c r="O1329" s="13">
        <v>2024</v>
      </c>
    </row>
    <row r="1330" spans="1:15" ht="14.5" customHeight="1" x14ac:dyDescent="0.35">
      <c r="A1330" s="20" t="s">
        <v>2654</v>
      </c>
      <c r="B1330" s="2" t="s">
        <v>2655</v>
      </c>
      <c r="C1330" s="17" t="s">
        <v>3109</v>
      </c>
      <c r="D1330" s="2" t="s">
        <v>272</v>
      </c>
      <c r="E1330" s="15" t="s">
        <v>273</v>
      </c>
      <c r="F1330" t="s">
        <v>208</v>
      </c>
      <c r="G1330" s="2" t="str">
        <f t="shared" si="21"/>
        <v>Medium</v>
      </c>
      <c r="H1330" s="3">
        <v>1564</v>
      </c>
      <c r="I1330" s="4">
        <v>3.8</v>
      </c>
      <c r="J1330" s="5">
        <v>484422.00767263427</v>
      </c>
      <c r="K1330" s="6">
        <v>2.289280016016134E-3</v>
      </c>
      <c r="L1330" s="5">
        <v>1252.4379795396419</v>
      </c>
      <c r="M1330" s="5">
        <v>176.04868286445014</v>
      </c>
      <c r="N1330" s="11">
        <v>1497.1592071611253</v>
      </c>
      <c r="O1330" s="13">
        <v>2024</v>
      </c>
    </row>
    <row r="1331" spans="1:15" ht="14.5" customHeight="1" x14ac:dyDescent="0.35">
      <c r="A1331" s="20" t="s">
        <v>2656</v>
      </c>
      <c r="B1331" s="2" t="s">
        <v>2657</v>
      </c>
      <c r="C1331" s="17" t="s">
        <v>3109</v>
      </c>
      <c r="D1331" s="2" t="s">
        <v>13</v>
      </c>
      <c r="E1331" s="15" t="s">
        <v>186</v>
      </c>
      <c r="F1331" t="s">
        <v>170</v>
      </c>
      <c r="G1331" s="2" t="str">
        <f t="shared" si="21"/>
        <v>Medium</v>
      </c>
      <c r="H1331" s="3">
        <v>1247</v>
      </c>
      <c r="I1331" s="4">
        <v>0.8</v>
      </c>
      <c r="J1331" s="5">
        <v>52885.599037690459</v>
      </c>
      <c r="K1331" s="6">
        <v>9.430294396180575E-3</v>
      </c>
      <c r="L1331" s="5">
        <v>755.05967121090612</v>
      </c>
      <c r="M1331" s="5">
        <v>3608.8211708099439</v>
      </c>
      <c r="N1331" s="11">
        <v>1552.0019085805934</v>
      </c>
      <c r="O1331" s="13">
        <v>2024</v>
      </c>
    </row>
    <row r="1332" spans="1:15" ht="14.5" customHeight="1" x14ac:dyDescent="0.35">
      <c r="A1332" s="20" t="s">
        <v>2658</v>
      </c>
      <c r="B1332" s="2" t="s">
        <v>2659</v>
      </c>
      <c r="C1332" s="17" t="s">
        <v>3109</v>
      </c>
      <c r="D1332" s="2" t="s">
        <v>272</v>
      </c>
      <c r="E1332" s="15" t="s">
        <v>273</v>
      </c>
      <c r="F1332" t="s">
        <v>208</v>
      </c>
      <c r="G1332" s="2" t="str">
        <f t="shared" si="21"/>
        <v>Medium</v>
      </c>
      <c r="H1332" s="3">
        <v>1162</v>
      </c>
      <c r="I1332" s="4">
        <v>2.7</v>
      </c>
      <c r="J1332" s="5">
        <v>2450456.2530120481</v>
      </c>
      <c r="K1332" s="6">
        <v>3.9880205441357962E-4</v>
      </c>
      <c r="L1332" s="5">
        <v>1065.0172117039588</v>
      </c>
      <c r="M1332" s="5">
        <v>0</v>
      </c>
      <c r="N1332" s="11">
        <v>1876.8537005163512</v>
      </c>
      <c r="O1332" s="13">
        <v>2024</v>
      </c>
    </row>
    <row r="1333" spans="1:15" ht="14.5" customHeight="1" x14ac:dyDescent="0.35">
      <c r="A1333" s="20" t="s">
        <v>2660</v>
      </c>
      <c r="B1333" s="2" t="s">
        <v>2661</v>
      </c>
      <c r="C1333" s="17" t="s">
        <v>3109</v>
      </c>
      <c r="D1333" s="2" t="s">
        <v>30</v>
      </c>
      <c r="E1333" s="15" t="s">
        <v>273</v>
      </c>
      <c r="F1333" t="s">
        <v>208</v>
      </c>
      <c r="G1333" s="2" t="str">
        <f t="shared" si="21"/>
        <v>Medium</v>
      </c>
      <c r="H1333" s="3">
        <v>5464</v>
      </c>
      <c r="I1333" s="4">
        <v>2.8</v>
      </c>
      <c r="J1333" s="5">
        <v>580660.81021229865</v>
      </c>
      <c r="K1333" s="6">
        <v>2.2331236854401421E-5</v>
      </c>
      <c r="L1333" s="5">
        <v>66.400622254758417</v>
      </c>
      <c r="M1333" s="5">
        <v>0</v>
      </c>
      <c r="N1333" s="11">
        <v>441.6852122986823</v>
      </c>
      <c r="O1333" s="13">
        <v>2024</v>
      </c>
    </row>
    <row r="1334" spans="1:15" ht="14.5" customHeight="1" x14ac:dyDescent="0.35">
      <c r="A1334" s="20" t="s">
        <v>2662</v>
      </c>
      <c r="B1334" s="2" t="s">
        <v>2663</v>
      </c>
      <c r="C1334" s="17" t="s">
        <v>3109</v>
      </c>
      <c r="D1334" s="2" t="s">
        <v>18</v>
      </c>
      <c r="E1334" s="15" t="s">
        <v>173</v>
      </c>
      <c r="F1334" t="s">
        <v>170</v>
      </c>
      <c r="G1334" s="2" t="str">
        <f t="shared" si="21"/>
        <v>Small</v>
      </c>
      <c r="H1334" s="3">
        <v>732</v>
      </c>
      <c r="I1334" s="4">
        <v>0.5</v>
      </c>
      <c r="J1334" s="5">
        <v>69473.968579234977</v>
      </c>
      <c r="K1334" s="6">
        <v>4.0684539133804985E-3</v>
      </c>
      <c r="L1334" s="5">
        <v>775.48907103825138</v>
      </c>
      <c r="M1334" s="5">
        <v>430.32786885245901</v>
      </c>
      <c r="N1334" s="11">
        <v>1170.1912568306011</v>
      </c>
      <c r="O1334" s="13">
        <v>2024</v>
      </c>
    </row>
    <row r="1335" spans="1:15" ht="14.5" customHeight="1" x14ac:dyDescent="0.35">
      <c r="A1335" s="20" t="s">
        <v>2664</v>
      </c>
      <c r="B1335" s="2" t="s">
        <v>2665</v>
      </c>
      <c r="C1335" s="17" t="s">
        <v>3109</v>
      </c>
      <c r="D1335" s="2" t="s">
        <v>89</v>
      </c>
      <c r="E1335" s="15" t="s">
        <v>183</v>
      </c>
      <c r="F1335" t="s">
        <v>170</v>
      </c>
      <c r="G1335" s="2" t="str">
        <f t="shared" si="21"/>
        <v>Medium</v>
      </c>
      <c r="H1335" s="3">
        <v>6739</v>
      </c>
      <c r="I1335" s="4">
        <v>2</v>
      </c>
      <c r="J1335" s="5">
        <v>56085.125241133697</v>
      </c>
      <c r="K1335" s="6">
        <v>8.7154178558397737E-3</v>
      </c>
      <c r="L1335" s="5">
        <v>527.72705891081762</v>
      </c>
      <c r="M1335" s="5">
        <v>158.14130434782609</v>
      </c>
      <c r="N1335" s="11">
        <v>899.02822970767181</v>
      </c>
      <c r="O1335" s="13">
        <v>2024</v>
      </c>
    </row>
    <row r="1336" spans="1:15" ht="14.5" customHeight="1" x14ac:dyDescent="0.35">
      <c r="A1336" s="20" t="s">
        <v>2666</v>
      </c>
      <c r="B1336" s="2" t="s">
        <v>2667</v>
      </c>
      <c r="C1336" s="17" t="s">
        <v>3109</v>
      </c>
      <c r="D1336" s="2" t="s">
        <v>272</v>
      </c>
      <c r="E1336" s="15" t="s">
        <v>273</v>
      </c>
      <c r="F1336" t="s">
        <v>208</v>
      </c>
      <c r="G1336" s="2" t="str">
        <f t="shared" si="21"/>
        <v>Medium</v>
      </c>
      <c r="H1336" s="3">
        <v>7347</v>
      </c>
      <c r="I1336" s="4">
        <v>2.2999999999999998</v>
      </c>
      <c r="J1336" s="5">
        <v>239536.91915067376</v>
      </c>
      <c r="K1336" s="6">
        <v>7.5957111441283661E-3</v>
      </c>
      <c r="L1336" s="5">
        <v>1986.4642711310739</v>
      </c>
      <c r="M1336" s="5">
        <v>112.29073091057575</v>
      </c>
      <c r="N1336" s="11">
        <v>2781.9712807948822</v>
      </c>
      <c r="O1336" s="13">
        <v>2024</v>
      </c>
    </row>
    <row r="1337" spans="1:15" ht="14.5" customHeight="1" x14ac:dyDescent="0.35">
      <c r="A1337" s="20" t="s">
        <v>2668</v>
      </c>
      <c r="B1337" s="2" t="s">
        <v>2669</v>
      </c>
      <c r="C1337" s="17" t="s">
        <v>3109</v>
      </c>
      <c r="D1337" s="2" t="s">
        <v>34</v>
      </c>
      <c r="E1337" s="15" t="s">
        <v>214</v>
      </c>
      <c r="F1337" t="s">
        <v>170</v>
      </c>
      <c r="G1337" s="2" t="str">
        <f t="shared" si="21"/>
        <v>Small</v>
      </c>
      <c r="H1337" s="3">
        <v>993</v>
      </c>
      <c r="I1337" s="4">
        <v>1</v>
      </c>
      <c r="J1337" s="5">
        <v>123290.56495468278</v>
      </c>
      <c r="K1337" s="6">
        <v>4.6964109731168231E-3</v>
      </c>
      <c r="L1337" s="5">
        <v>935.4149043303122</v>
      </c>
      <c r="M1337" s="5">
        <v>28.093655589123866</v>
      </c>
      <c r="N1337" s="11">
        <v>1898.0996978851963</v>
      </c>
      <c r="O1337" s="13">
        <v>2024</v>
      </c>
    </row>
    <row r="1338" spans="1:15" ht="14.5" customHeight="1" x14ac:dyDescent="0.35">
      <c r="A1338" s="20" t="s">
        <v>2670</v>
      </c>
      <c r="B1338" s="2" t="s">
        <v>2671</v>
      </c>
      <c r="C1338" s="17" t="s">
        <v>3109</v>
      </c>
      <c r="D1338" s="2" t="s">
        <v>63</v>
      </c>
      <c r="E1338" s="15" t="s">
        <v>169</v>
      </c>
      <c r="F1338" t="s">
        <v>170</v>
      </c>
      <c r="G1338" s="2" t="str">
        <f t="shared" si="21"/>
        <v>Medium</v>
      </c>
      <c r="H1338" s="3">
        <v>1552</v>
      </c>
      <c r="I1338" s="4">
        <v>2.1</v>
      </c>
      <c r="J1338" s="5">
        <v>40140.269974226801</v>
      </c>
      <c r="K1338" s="6" t="s">
        <v>27</v>
      </c>
      <c r="L1338" s="5">
        <v>0</v>
      </c>
      <c r="M1338" s="5">
        <v>0</v>
      </c>
      <c r="N1338" s="11">
        <v>0</v>
      </c>
      <c r="O1338" s="13">
        <v>2024</v>
      </c>
    </row>
    <row r="1339" spans="1:15" ht="14.5" customHeight="1" x14ac:dyDescent="0.35">
      <c r="A1339" s="20" t="s">
        <v>2672</v>
      </c>
      <c r="B1339" s="2" t="s">
        <v>2673</v>
      </c>
      <c r="C1339" s="17" t="s">
        <v>3109</v>
      </c>
      <c r="D1339" s="2" t="s">
        <v>269</v>
      </c>
      <c r="E1339" s="15" t="s">
        <v>178</v>
      </c>
      <c r="F1339" t="s">
        <v>170</v>
      </c>
      <c r="G1339" s="2" t="str">
        <f t="shared" si="21"/>
        <v>Medium</v>
      </c>
      <c r="H1339" s="3">
        <v>1169</v>
      </c>
      <c r="I1339" s="4">
        <v>1</v>
      </c>
      <c r="J1339" s="5">
        <v>47451.576561163391</v>
      </c>
      <c r="K1339" s="6">
        <v>8.9065989977842961E-3</v>
      </c>
      <c r="L1339" s="5">
        <v>480.4149700598802</v>
      </c>
      <c r="M1339" s="5">
        <v>2767.0767065868263</v>
      </c>
      <c r="N1339" s="11">
        <v>1554.1736783575707</v>
      </c>
      <c r="O1339" s="13">
        <v>2024</v>
      </c>
    </row>
    <row r="1340" spans="1:15" ht="14.5" customHeight="1" x14ac:dyDescent="0.35">
      <c r="A1340" s="20" t="s">
        <v>2674</v>
      </c>
      <c r="B1340" s="2" t="s">
        <v>2675</v>
      </c>
      <c r="C1340" s="17" t="s">
        <v>3109</v>
      </c>
      <c r="D1340" s="2" t="s">
        <v>513</v>
      </c>
      <c r="E1340" s="15" t="s">
        <v>207</v>
      </c>
      <c r="F1340" t="s">
        <v>208</v>
      </c>
      <c r="G1340" s="2" t="str">
        <f t="shared" si="21"/>
        <v>Medium</v>
      </c>
      <c r="H1340" s="3">
        <v>7265</v>
      </c>
      <c r="I1340" s="4">
        <v>0.8</v>
      </c>
      <c r="J1340" s="5">
        <v>133442.97756366138</v>
      </c>
      <c r="K1340" s="6">
        <v>4.2993151905321566E-3</v>
      </c>
      <c r="L1340" s="5">
        <v>667.41321403991742</v>
      </c>
      <c r="M1340" s="5">
        <v>1885.8123881624226</v>
      </c>
      <c r="N1340" s="11">
        <v>2173.1910529938059</v>
      </c>
      <c r="O1340" s="13">
        <v>2024</v>
      </c>
    </row>
    <row r="1341" spans="1:15" ht="14.5" customHeight="1" x14ac:dyDescent="0.35">
      <c r="A1341" s="20" t="s">
        <v>2676</v>
      </c>
      <c r="B1341" s="2" t="s">
        <v>2677</v>
      </c>
      <c r="C1341" s="17" t="s">
        <v>3109</v>
      </c>
      <c r="D1341" s="2" t="s">
        <v>7</v>
      </c>
      <c r="E1341" s="15" t="s">
        <v>178</v>
      </c>
      <c r="F1341" t="s">
        <v>170</v>
      </c>
      <c r="G1341" s="2" t="str">
        <f t="shared" si="21"/>
        <v>Medium</v>
      </c>
      <c r="H1341" s="3">
        <v>1812</v>
      </c>
      <c r="I1341" s="4">
        <v>0.7</v>
      </c>
      <c r="J1341" s="5">
        <v>32125.177704194259</v>
      </c>
      <c r="K1341" s="6">
        <v>5.0340811198302622E-3</v>
      </c>
      <c r="L1341" s="5">
        <v>290.46136865342163</v>
      </c>
      <c r="M1341" s="5">
        <v>2883.4944812362032</v>
      </c>
      <c r="N1341" s="11">
        <v>1008.7842163355408</v>
      </c>
      <c r="O1341" s="13">
        <v>2024</v>
      </c>
    </row>
    <row r="1342" spans="1:15" ht="14.5" customHeight="1" x14ac:dyDescent="0.35">
      <c r="A1342" s="20" t="s">
        <v>2678</v>
      </c>
      <c r="B1342" s="2" t="s">
        <v>2679</v>
      </c>
      <c r="C1342" s="17" t="s">
        <v>3109</v>
      </c>
      <c r="D1342" s="2" t="s">
        <v>272</v>
      </c>
      <c r="E1342" s="15" t="s">
        <v>273</v>
      </c>
      <c r="F1342" t="s">
        <v>208</v>
      </c>
      <c r="G1342" s="2" t="str">
        <f t="shared" si="21"/>
        <v>Small</v>
      </c>
      <c r="H1342" s="3">
        <v>153</v>
      </c>
      <c r="I1342" s="4">
        <v>0.1</v>
      </c>
      <c r="J1342" s="5">
        <v>3418036.6601307187</v>
      </c>
      <c r="K1342" s="6">
        <v>8.8743010361245715E-3</v>
      </c>
      <c r="L1342" s="5">
        <v>33860.196078431371</v>
      </c>
      <c r="M1342" s="5">
        <v>26852.941176470587</v>
      </c>
      <c r="N1342" s="11">
        <v>133888.4183006536</v>
      </c>
      <c r="O1342" s="13">
        <v>2024</v>
      </c>
    </row>
    <row r="1343" spans="1:15" ht="14.5" customHeight="1" x14ac:dyDescent="0.35">
      <c r="A1343" s="20" t="s">
        <v>2680</v>
      </c>
      <c r="B1343" s="2" t="s">
        <v>2681</v>
      </c>
      <c r="C1343" s="17" t="s">
        <v>3109</v>
      </c>
      <c r="D1343" s="2" t="s">
        <v>451</v>
      </c>
      <c r="E1343" s="15" t="s">
        <v>173</v>
      </c>
      <c r="F1343" t="s">
        <v>170</v>
      </c>
      <c r="G1343" s="2" t="str">
        <f t="shared" si="21"/>
        <v>Small</v>
      </c>
      <c r="H1343" s="3">
        <v>517</v>
      </c>
      <c r="I1343" s="4">
        <v>1.1000000000000001</v>
      </c>
      <c r="J1343" s="5">
        <v>58864.023210831721</v>
      </c>
      <c r="K1343" s="6">
        <v>8.3566361183858157E-3</v>
      </c>
      <c r="L1343" s="5">
        <v>590.05839458413925</v>
      </c>
      <c r="M1343" s="5">
        <v>19797.8850483559</v>
      </c>
      <c r="N1343" s="11">
        <v>9261.9326112185681</v>
      </c>
      <c r="O1343" s="13">
        <v>2024</v>
      </c>
    </row>
    <row r="1344" spans="1:15" ht="14.5" customHeight="1" x14ac:dyDescent="0.35">
      <c r="A1344" s="20" t="s">
        <v>2682</v>
      </c>
      <c r="B1344" s="2" t="s">
        <v>2683</v>
      </c>
      <c r="C1344" s="17" t="s">
        <v>3109</v>
      </c>
      <c r="D1344" s="2" t="s">
        <v>30</v>
      </c>
      <c r="E1344" s="15" t="s">
        <v>273</v>
      </c>
      <c r="F1344" t="s">
        <v>208</v>
      </c>
      <c r="G1344" s="2" t="str">
        <f t="shared" si="21"/>
        <v>Medium</v>
      </c>
      <c r="H1344" s="3">
        <v>2020</v>
      </c>
      <c r="I1344" s="4">
        <v>4</v>
      </c>
      <c r="J1344" s="5">
        <v>954006.18811881193</v>
      </c>
      <c r="K1344" s="6">
        <v>2.755322850356171E-3</v>
      </c>
      <c r="L1344" s="5">
        <v>2772.1445544554454</v>
      </c>
      <c r="M1344" s="5">
        <v>962.87128712871288</v>
      </c>
      <c r="N1344" s="11">
        <v>4171.0009900990099</v>
      </c>
      <c r="O1344" s="13">
        <v>2024</v>
      </c>
    </row>
    <row r="1345" spans="1:15" ht="14.5" customHeight="1" x14ac:dyDescent="0.35">
      <c r="A1345" s="20" t="s">
        <v>2684</v>
      </c>
      <c r="B1345" s="2" t="s">
        <v>2685</v>
      </c>
      <c r="C1345" s="17" t="s">
        <v>3109</v>
      </c>
      <c r="D1345" s="2" t="s">
        <v>272</v>
      </c>
      <c r="E1345" s="15" t="s">
        <v>273</v>
      </c>
      <c r="F1345" t="s">
        <v>208</v>
      </c>
      <c r="G1345" s="2" t="str">
        <f t="shared" si="21"/>
        <v>Small</v>
      </c>
      <c r="H1345" s="3">
        <v>893</v>
      </c>
      <c r="I1345" s="4">
        <v>2.1</v>
      </c>
      <c r="J1345" s="5">
        <v>576156.48600223963</v>
      </c>
      <c r="K1345" s="6" t="s">
        <v>27</v>
      </c>
      <c r="L1345" s="5">
        <v>0</v>
      </c>
      <c r="M1345" s="5">
        <v>0</v>
      </c>
      <c r="N1345" s="11">
        <v>0</v>
      </c>
      <c r="O1345" s="13">
        <v>2024</v>
      </c>
    </row>
    <row r="1346" spans="1:15" ht="14.5" customHeight="1" x14ac:dyDescent="0.35">
      <c r="A1346" s="20" t="s">
        <v>2686</v>
      </c>
      <c r="B1346" s="2" t="s">
        <v>2687</v>
      </c>
      <c r="C1346" s="17" t="s">
        <v>3109</v>
      </c>
      <c r="D1346" s="2" t="s">
        <v>30</v>
      </c>
      <c r="E1346" s="15" t="s">
        <v>273</v>
      </c>
      <c r="F1346" t="s">
        <v>208</v>
      </c>
      <c r="G1346" s="2" t="str">
        <f t="shared" si="21"/>
        <v>Medium</v>
      </c>
      <c r="H1346" s="3">
        <v>4289</v>
      </c>
      <c r="I1346" s="4">
        <v>8.6</v>
      </c>
      <c r="J1346" s="5">
        <v>688475.47983212874</v>
      </c>
      <c r="K1346" s="6">
        <v>4.2005333220524708E-3</v>
      </c>
      <c r="L1346" s="5">
        <v>3088.410508276987</v>
      </c>
      <c r="M1346" s="5">
        <v>2071.5784565166705</v>
      </c>
      <c r="N1346" s="11">
        <v>4695.1396572627646</v>
      </c>
      <c r="O1346" s="13">
        <v>2024</v>
      </c>
    </row>
    <row r="1347" spans="1:15" ht="14.5" customHeight="1" x14ac:dyDescent="0.35">
      <c r="A1347" s="20" t="s">
        <v>2688</v>
      </c>
      <c r="B1347" s="2" t="s">
        <v>2689</v>
      </c>
      <c r="C1347" s="17" t="s">
        <v>3109</v>
      </c>
      <c r="D1347" s="2" t="s">
        <v>81</v>
      </c>
      <c r="E1347" s="15" t="s">
        <v>214</v>
      </c>
      <c r="F1347" t="s">
        <v>170</v>
      </c>
      <c r="G1347" s="2" t="str">
        <f t="shared" si="21"/>
        <v>Small</v>
      </c>
      <c r="H1347" s="3">
        <v>586</v>
      </c>
      <c r="I1347" s="4">
        <v>0.5</v>
      </c>
      <c r="J1347" s="5">
        <v>67878.686006825941</v>
      </c>
      <c r="K1347" s="6">
        <v>5.7170856157504437E-4</v>
      </c>
      <c r="L1347" s="5">
        <v>239.44496587030716</v>
      </c>
      <c r="M1347" s="5">
        <v>0</v>
      </c>
      <c r="N1347" s="11">
        <v>248.62322525597267</v>
      </c>
      <c r="O1347" s="13">
        <v>2024</v>
      </c>
    </row>
    <row r="1348" spans="1:15" ht="14.5" customHeight="1" x14ac:dyDescent="0.35">
      <c r="A1348" s="20" t="s">
        <v>2690</v>
      </c>
      <c r="B1348" s="2" t="s">
        <v>2691</v>
      </c>
      <c r="C1348" s="17" t="s">
        <v>3109</v>
      </c>
      <c r="D1348" s="2" t="s">
        <v>13</v>
      </c>
      <c r="E1348" s="15" t="s">
        <v>186</v>
      </c>
      <c r="F1348" t="s">
        <v>170</v>
      </c>
      <c r="G1348" s="2" t="str">
        <f t="shared" si="21"/>
        <v>Medium</v>
      </c>
      <c r="H1348" s="3">
        <v>3108</v>
      </c>
      <c r="I1348" s="4">
        <v>1.4</v>
      </c>
      <c r="J1348" s="5">
        <v>122779.72812097812</v>
      </c>
      <c r="K1348" s="6">
        <v>1.8525055575625321E-3</v>
      </c>
      <c r="L1348" s="5">
        <v>592.96074646074646</v>
      </c>
      <c r="M1348" s="5">
        <v>394.14414414414415</v>
      </c>
      <c r="N1348" s="11">
        <v>1157.916344916345</v>
      </c>
      <c r="O1348" s="13">
        <v>2024</v>
      </c>
    </row>
    <row r="1349" spans="1:15" ht="14.5" customHeight="1" x14ac:dyDescent="0.35">
      <c r="A1349" s="20" t="s">
        <v>2692</v>
      </c>
      <c r="B1349" s="2" t="s">
        <v>2693</v>
      </c>
      <c r="C1349" s="17" t="s">
        <v>3109</v>
      </c>
      <c r="D1349" s="2" t="s">
        <v>81</v>
      </c>
      <c r="E1349" s="15" t="s">
        <v>214</v>
      </c>
      <c r="F1349" t="s">
        <v>170</v>
      </c>
      <c r="G1349" s="2" t="str">
        <f t="shared" si="21"/>
        <v>Medium</v>
      </c>
      <c r="H1349" s="3">
        <v>1315</v>
      </c>
      <c r="I1349" s="4">
        <v>0.8</v>
      </c>
      <c r="J1349" s="5">
        <v>54874.069961977184</v>
      </c>
      <c r="K1349" s="6">
        <v>7.4195321075415793E-3</v>
      </c>
      <c r="L1349" s="5">
        <v>665.76349809885926</v>
      </c>
      <c r="M1349" s="5">
        <v>292.61673003802281</v>
      </c>
      <c r="N1349" s="11">
        <v>1021.3079847908746</v>
      </c>
      <c r="O1349" s="13">
        <v>2024</v>
      </c>
    </row>
    <row r="1350" spans="1:15" ht="14.5" customHeight="1" x14ac:dyDescent="0.35">
      <c r="A1350" s="20" t="s">
        <v>2694</v>
      </c>
      <c r="B1350" s="2" t="s">
        <v>2695</v>
      </c>
      <c r="C1350" s="17" t="s">
        <v>3109</v>
      </c>
      <c r="D1350" s="2" t="s">
        <v>81</v>
      </c>
      <c r="E1350" s="15" t="s">
        <v>214</v>
      </c>
      <c r="F1350" t="s">
        <v>170</v>
      </c>
      <c r="G1350" s="2" t="str">
        <f t="shared" si="21"/>
        <v>Small</v>
      </c>
      <c r="H1350" s="3">
        <v>658</v>
      </c>
      <c r="I1350" s="4">
        <v>0.5</v>
      </c>
      <c r="J1350" s="5">
        <v>36395.39817629179</v>
      </c>
      <c r="K1350" s="6">
        <v>7.1424658216084312E-3</v>
      </c>
      <c r="L1350" s="5">
        <v>441.68996960486322</v>
      </c>
      <c r="M1350" s="5">
        <v>802.82066869300911</v>
      </c>
      <c r="N1350" s="11">
        <v>1366.2355623100304</v>
      </c>
      <c r="O1350" s="13">
        <v>2024</v>
      </c>
    </row>
    <row r="1351" spans="1:15" ht="14.5" customHeight="1" x14ac:dyDescent="0.35">
      <c r="A1351" s="20" t="s">
        <v>2696</v>
      </c>
      <c r="B1351" s="2" t="s">
        <v>2697</v>
      </c>
      <c r="C1351" s="17" t="s">
        <v>3109</v>
      </c>
      <c r="D1351" s="2" t="s">
        <v>55</v>
      </c>
      <c r="E1351" s="15" t="s">
        <v>207</v>
      </c>
      <c r="F1351" t="s">
        <v>208</v>
      </c>
      <c r="G1351" s="2" t="str">
        <f t="shared" si="21"/>
        <v>Large</v>
      </c>
      <c r="H1351" s="3">
        <v>27551</v>
      </c>
      <c r="I1351" s="4">
        <v>3.2</v>
      </c>
      <c r="J1351" s="5">
        <v>103031.65180937172</v>
      </c>
      <c r="K1351" s="6">
        <v>8.8495622545658806E-3</v>
      </c>
      <c r="L1351" s="5">
        <v>1216.0768030198542</v>
      </c>
      <c r="M1351" s="5">
        <v>2318.3734528692244</v>
      </c>
      <c r="N1351" s="11">
        <v>2795.8145983811842</v>
      </c>
      <c r="O1351" s="13">
        <v>2024</v>
      </c>
    </row>
    <row r="1352" spans="1:15" ht="14.5" customHeight="1" x14ac:dyDescent="0.35">
      <c r="A1352" s="20" t="s">
        <v>2698</v>
      </c>
      <c r="B1352" s="2" t="s">
        <v>2699</v>
      </c>
      <c r="C1352" s="17" t="s">
        <v>3109</v>
      </c>
      <c r="D1352" s="2" t="s">
        <v>69</v>
      </c>
      <c r="E1352" s="15" t="s">
        <v>173</v>
      </c>
      <c r="F1352" t="s">
        <v>170</v>
      </c>
      <c r="G1352" s="2" t="str">
        <f t="shared" si="21"/>
        <v>Small</v>
      </c>
      <c r="H1352" s="3">
        <v>875</v>
      </c>
      <c r="I1352" s="4">
        <v>1.2</v>
      </c>
      <c r="J1352" s="5">
        <v>67047.183999999994</v>
      </c>
      <c r="K1352" s="6">
        <v>3.2471972062455088E-3</v>
      </c>
      <c r="L1352" s="5">
        <v>325.27885714285713</v>
      </c>
      <c r="M1352" s="5">
        <v>744.78857142857146</v>
      </c>
      <c r="N1352" s="11">
        <v>897.47657142857145</v>
      </c>
      <c r="O1352" s="13">
        <v>2024</v>
      </c>
    </row>
    <row r="1353" spans="1:15" ht="14.5" customHeight="1" x14ac:dyDescent="0.35">
      <c r="A1353" s="20" t="s">
        <v>2700</v>
      </c>
      <c r="B1353" s="2" t="s">
        <v>2701</v>
      </c>
      <c r="C1353" s="17" t="s">
        <v>3109</v>
      </c>
      <c r="D1353" s="2" t="s">
        <v>53</v>
      </c>
      <c r="E1353" s="15" t="s">
        <v>207</v>
      </c>
      <c r="F1353" t="s">
        <v>208</v>
      </c>
      <c r="G1353" s="2" t="str">
        <f t="shared" si="21"/>
        <v>Small</v>
      </c>
      <c r="H1353" s="3">
        <v>969</v>
      </c>
      <c r="I1353" s="4">
        <v>0.8</v>
      </c>
      <c r="J1353" s="5">
        <v>96033.15789473684</v>
      </c>
      <c r="K1353" s="6">
        <v>5.3844755847895246E-3</v>
      </c>
      <c r="L1353" s="5">
        <v>760.49448916408676</v>
      </c>
      <c r="M1353" s="5">
        <v>0</v>
      </c>
      <c r="N1353" s="11">
        <v>2277.2043343653249</v>
      </c>
      <c r="O1353" s="13">
        <v>2024</v>
      </c>
    </row>
    <row r="1354" spans="1:15" ht="14.5" customHeight="1" x14ac:dyDescent="0.35">
      <c r="A1354" s="20" t="s">
        <v>2702</v>
      </c>
      <c r="B1354" s="2" t="s">
        <v>2703</v>
      </c>
      <c r="C1354" s="17" t="s">
        <v>3109</v>
      </c>
      <c r="D1354" s="2" t="s">
        <v>588</v>
      </c>
      <c r="E1354" s="15" t="s">
        <v>178</v>
      </c>
      <c r="F1354" t="s">
        <v>170</v>
      </c>
      <c r="G1354" s="2" t="str">
        <f t="shared" si="21"/>
        <v>Small</v>
      </c>
      <c r="H1354" s="3">
        <v>534</v>
      </c>
      <c r="I1354" s="4">
        <v>0.4</v>
      </c>
      <c r="J1354" s="5">
        <v>63059.786516853936</v>
      </c>
      <c r="K1354" s="6">
        <v>5.0982044683474089E-3</v>
      </c>
      <c r="L1354" s="5">
        <v>334.68352059925093</v>
      </c>
      <c r="M1354" s="5">
        <v>1119.8501872659176</v>
      </c>
      <c r="N1354" s="11">
        <v>1259.4102247191013</v>
      </c>
      <c r="O1354" s="13">
        <v>2024</v>
      </c>
    </row>
    <row r="1355" spans="1:15" ht="14.5" customHeight="1" x14ac:dyDescent="0.35">
      <c r="A1355" s="20" t="s">
        <v>2704</v>
      </c>
      <c r="B1355" s="2" t="s">
        <v>2705</v>
      </c>
      <c r="C1355" s="17" t="s">
        <v>3109</v>
      </c>
      <c r="D1355" s="2" t="s">
        <v>292</v>
      </c>
      <c r="E1355" s="15" t="s">
        <v>173</v>
      </c>
      <c r="F1355" t="s">
        <v>170</v>
      </c>
      <c r="G1355" s="2" t="str">
        <f t="shared" si="21"/>
        <v>Medium</v>
      </c>
      <c r="H1355" s="3">
        <v>3654</v>
      </c>
      <c r="I1355" s="4">
        <v>2.5</v>
      </c>
      <c r="J1355" s="5">
        <v>58655.037493158183</v>
      </c>
      <c r="K1355" s="6" t="s">
        <v>27</v>
      </c>
      <c r="L1355" s="5">
        <v>0</v>
      </c>
      <c r="M1355" s="5">
        <v>0</v>
      </c>
      <c r="N1355" s="11">
        <v>0</v>
      </c>
      <c r="O1355" s="13">
        <v>2024</v>
      </c>
    </row>
    <row r="1356" spans="1:15" ht="14.5" customHeight="1" x14ac:dyDescent="0.35">
      <c r="A1356" s="20" t="s">
        <v>2706</v>
      </c>
      <c r="B1356" s="2" t="s">
        <v>2707</v>
      </c>
      <c r="C1356" s="17" t="s">
        <v>3109</v>
      </c>
      <c r="D1356" s="2" t="s">
        <v>61</v>
      </c>
      <c r="E1356" s="15" t="s">
        <v>173</v>
      </c>
      <c r="F1356" t="s">
        <v>170</v>
      </c>
      <c r="G1356" s="2" t="str">
        <f t="shared" si="21"/>
        <v>Medium</v>
      </c>
      <c r="H1356" s="3">
        <v>1330</v>
      </c>
      <c r="I1356" s="4">
        <v>1.8</v>
      </c>
      <c r="J1356" s="5">
        <v>39734.790225563913</v>
      </c>
      <c r="K1356" s="6">
        <v>1.3926925384661773E-2</v>
      </c>
      <c r="L1356" s="5">
        <v>682.17218045112782</v>
      </c>
      <c r="M1356" s="5">
        <v>2246.3962406015039</v>
      </c>
      <c r="N1356" s="11">
        <v>1740.6496240601505</v>
      </c>
      <c r="O1356" s="13">
        <v>2024</v>
      </c>
    </row>
    <row r="1357" spans="1:15" ht="14.5" customHeight="1" x14ac:dyDescent="0.35">
      <c r="A1357" s="20" t="s">
        <v>2708</v>
      </c>
      <c r="B1357" s="2" t="s">
        <v>2709</v>
      </c>
      <c r="C1357" s="17" t="s">
        <v>3109</v>
      </c>
      <c r="D1357" s="2" t="s">
        <v>30</v>
      </c>
      <c r="E1357" s="15" t="s">
        <v>273</v>
      </c>
      <c r="F1357" t="s">
        <v>208</v>
      </c>
      <c r="G1357" s="2" t="str">
        <f t="shared" si="21"/>
        <v>Medium</v>
      </c>
      <c r="H1357" s="3">
        <v>2265</v>
      </c>
      <c r="I1357" s="4">
        <v>4.2</v>
      </c>
      <c r="J1357" s="5">
        <v>320144.51788079471</v>
      </c>
      <c r="K1357" s="6">
        <v>5.6822034041295747E-3</v>
      </c>
      <c r="L1357" s="5">
        <v>1920.0988962472406</v>
      </c>
      <c r="M1357" s="5">
        <v>0</v>
      </c>
      <c r="N1357" s="11">
        <v>2998.8061810154527</v>
      </c>
      <c r="O1357" s="13">
        <v>2024</v>
      </c>
    </row>
    <row r="1358" spans="1:15" ht="14.5" customHeight="1" x14ac:dyDescent="0.35">
      <c r="A1358" s="20" t="s">
        <v>2710</v>
      </c>
      <c r="B1358" s="2" t="s">
        <v>2711</v>
      </c>
      <c r="C1358" s="17" t="s">
        <v>3109</v>
      </c>
      <c r="D1358" s="2" t="s">
        <v>18</v>
      </c>
      <c r="E1358" s="15" t="s">
        <v>173</v>
      </c>
      <c r="F1358" t="s">
        <v>170</v>
      </c>
      <c r="G1358" s="2" t="str">
        <f t="shared" si="21"/>
        <v>Medium</v>
      </c>
      <c r="H1358" s="3">
        <v>1768</v>
      </c>
      <c r="I1358" s="4">
        <v>1.3</v>
      </c>
      <c r="J1358" s="5">
        <v>57169.102375565613</v>
      </c>
      <c r="K1358" s="6">
        <v>1.2371064397909855E-2</v>
      </c>
      <c r="L1358" s="5">
        <v>985.28835407239819</v>
      </c>
      <c r="M1358" s="5">
        <v>449.20814479638011</v>
      </c>
      <c r="N1358" s="11">
        <v>1570.7147680995474</v>
      </c>
      <c r="O1358" s="13">
        <v>2024</v>
      </c>
    </row>
    <row r="1359" spans="1:15" ht="14.5" customHeight="1" x14ac:dyDescent="0.35">
      <c r="A1359" s="20" t="s">
        <v>2712</v>
      </c>
      <c r="B1359" s="2" t="s">
        <v>2713</v>
      </c>
      <c r="C1359" s="17" t="s">
        <v>3109</v>
      </c>
      <c r="D1359" s="2" t="s">
        <v>3</v>
      </c>
      <c r="E1359" s="15" t="s">
        <v>214</v>
      </c>
      <c r="F1359" t="s">
        <v>170</v>
      </c>
      <c r="G1359" s="2" t="str">
        <f t="shared" si="21"/>
        <v>Small</v>
      </c>
      <c r="H1359" s="3">
        <v>796</v>
      </c>
      <c r="I1359" s="4">
        <v>0.9</v>
      </c>
      <c r="J1359" s="5">
        <v>64856.423366834169</v>
      </c>
      <c r="K1359" s="6">
        <v>3.1568764967953083E-3</v>
      </c>
      <c r="L1359" s="5">
        <v>697.5778894472362</v>
      </c>
      <c r="M1359" s="5">
        <v>991.2060301507538</v>
      </c>
      <c r="N1359" s="11">
        <v>1242.747487437186</v>
      </c>
      <c r="O1359" s="13">
        <v>2024</v>
      </c>
    </row>
    <row r="1360" spans="1:15" ht="14.5" customHeight="1" x14ac:dyDescent="0.35">
      <c r="A1360" s="20" t="s">
        <v>2714</v>
      </c>
      <c r="B1360" s="2" t="s">
        <v>2715</v>
      </c>
      <c r="C1360" s="17" t="s">
        <v>3109</v>
      </c>
      <c r="D1360" s="2" t="s">
        <v>234</v>
      </c>
      <c r="E1360" s="15" t="s">
        <v>178</v>
      </c>
      <c r="F1360" t="s">
        <v>170</v>
      </c>
      <c r="G1360" s="2" t="str">
        <f t="shared" si="21"/>
        <v>Medium</v>
      </c>
      <c r="H1360" s="3">
        <v>3305</v>
      </c>
      <c r="I1360" s="4">
        <v>1.4</v>
      </c>
      <c r="J1360" s="5">
        <v>51171.792738275341</v>
      </c>
      <c r="K1360" s="6">
        <v>9.7576401522503405E-3</v>
      </c>
      <c r="L1360" s="5">
        <v>784.7914795763993</v>
      </c>
      <c r="M1360" s="5">
        <v>89.258698940998485</v>
      </c>
      <c r="N1360" s="11">
        <v>1328.2949198184569</v>
      </c>
      <c r="O1360" s="13">
        <v>2024</v>
      </c>
    </row>
    <row r="1361" spans="1:15" ht="14.5" customHeight="1" x14ac:dyDescent="0.35">
      <c r="A1361" s="20" t="s">
        <v>2716</v>
      </c>
      <c r="B1361" s="2" t="s">
        <v>2717</v>
      </c>
      <c r="C1361" s="17" t="s">
        <v>3109</v>
      </c>
      <c r="D1361" s="2" t="s">
        <v>22</v>
      </c>
      <c r="E1361" s="15" t="s">
        <v>186</v>
      </c>
      <c r="F1361" t="s">
        <v>170</v>
      </c>
      <c r="G1361" s="2" t="str">
        <f t="shared" si="21"/>
        <v>Small</v>
      </c>
      <c r="H1361" s="3">
        <v>475</v>
      </c>
      <c r="I1361" s="4">
        <v>2.2000000000000002</v>
      </c>
      <c r="J1361" s="5">
        <v>37772.084210526315</v>
      </c>
      <c r="K1361" s="6">
        <v>1.5568261495261886E-3</v>
      </c>
      <c r="L1361" s="5">
        <v>236.88298947368418</v>
      </c>
      <c r="M1361" s="5">
        <v>0</v>
      </c>
      <c r="N1361" s="11">
        <v>294.56846315789471</v>
      </c>
      <c r="O1361" s="13">
        <v>2024</v>
      </c>
    </row>
    <row r="1362" spans="1:15" ht="14.5" customHeight="1" x14ac:dyDescent="0.35">
      <c r="A1362" s="20" t="s">
        <v>2718</v>
      </c>
      <c r="B1362" s="2" t="s">
        <v>2719</v>
      </c>
      <c r="C1362" s="17" t="s">
        <v>3109</v>
      </c>
      <c r="D1362" s="2" t="s">
        <v>26</v>
      </c>
      <c r="E1362" s="15" t="s">
        <v>183</v>
      </c>
      <c r="F1362" t="s">
        <v>170</v>
      </c>
      <c r="G1362" s="2" t="str">
        <f t="shared" si="21"/>
        <v>Small</v>
      </c>
      <c r="H1362" s="3">
        <v>447</v>
      </c>
      <c r="I1362" s="4">
        <v>1.6</v>
      </c>
      <c r="J1362" s="5">
        <v>61094.646532438477</v>
      </c>
      <c r="K1362" s="6">
        <v>3.5274421280627882E-3</v>
      </c>
      <c r="L1362" s="5">
        <v>298.52970917225952</v>
      </c>
      <c r="M1362" s="5">
        <v>887.82997762863533</v>
      </c>
      <c r="N1362" s="11">
        <v>973.3263310961969</v>
      </c>
      <c r="O1362" s="13">
        <v>2024</v>
      </c>
    </row>
    <row r="1363" spans="1:15" ht="14.5" customHeight="1" x14ac:dyDescent="0.35">
      <c r="A1363" s="20" t="s">
        <v>2720</v>
      </c>
      <c r="B1363" s="2" t="s">
        <v>2721</v>
      </c>
      <c r="C1363" s="17" t="s">
        <v>3109</v>
      </c>
      <c r="D1363" s="2" t="s">
        <v>272</v>
      </c>
      <c r="E1363" s="15" t="s">
        <v>273</v>
      </c>
      <c r="F1363" t="s">
        <v>208</v>
      </c>
      <c r="G1363" s="2" t="str">
        <f t="shared" si="21"/>
        <v>Large</v>
      </c>
      <c r="H1363" s="3">
        <v>12408</v>
      </c>
      <c r="I1363" s="4">
        <v>2.2999999999999998</v>
      </c>
      <c r="J1363" s="5">
        <v>119720.21856866538</v>
      </c>
      <c r="K1363" s="6">
        <v>6.2500485025642127E-3</v>
      </c>
      <c r="L1363" s="5">
        <v>945.73049645390074</v>
      </c>
      <c r="M1363" s="5">
        <v>989.28022243713735</v>
      </c>
      <c r="N1363" s="11">
        <v>2711.7893294648616</v>
      </c>
      <c r="O1363" s="13">
        <v>2024</v>
      </c>
    </row>
    <row r="1364" spans="1:15" ht="14.5" customHeight="1" x14ac:dyDescent="0.35">
      <c r="A1364" s="20" t="s">
        <v>2722</v>
      </c>
      <c r="B1364" s="2" t="s">
        <v>2723</v>
      </c>
      <c r="C1364" s="17" t="s">
        <v>3109</v>
      </c>
      <c r="D1364" s="2" t="s">
        <v>9</v>
      </c>
      <c r="E1364" s="15" t="s">
        <v>207</v>
      </c>
      <c r="F1364" t="s">
        <v>208</v>
      </c>
      <c r="G1364" s="2" t="str">
        <f t="shared" si="21"/>
        <v>Medium</v>
      </c>
      <c r="H1364" s="3">
        <v>1995</v>
      </c>
      <c r="I1364" s="4">
        <v>2</v>
      </c>
      <c r="J1364" s="5">
        <v>109048.58395989976</v>
      </c>
      <c r="K1364" s="6">
        <v>5.7357680930655965E-3</v>
      </c>
      <c r="L1364" s="5">
        <v>701.01370426065148</v>
      </c>
      <c r="M1364" s="5">
        <v>7715.2812030075183</v>
      </c>
      <c r="N1364" s="11">
        <v>3173.4313283208021</v>
      </c>
      <c r="O1364" s="13">
        <v>2024</v>
      </c>
    </row>
    <row r="1365" spans="1:15" ht="14.5" customHeight="1" x14ac:dyDescent="0.35">
      <c r="A1365" s="20" t="s">
        <v>2724</v>
      </c>
      <c r="B1365" s="2" t="s">
        <v>2725</v>
      </c>
      <c r="C1365" s="17" t="s">
        <v>3109</v>
      </c>
      <c r="D1365" s="2" t="s">
        <v>55</v>
      </c>
      <c r="E1365" s="15" t="s">
        <v>207</v>
      </c>
      <c r="F1365" t="s">
        <v>208</v>
      </c>
      <c r="G1365" s="2" t="str">
        <f t="shared" si="21"/>
        <v>Medium</v>
      </c>
      <c r="H1365" s="3">
        <v>7326</v>
      </c>
      <c r="I1365" s="4">
        <v>0.8</v>
      </c>
      <c r="J1365" s="5">
        <v>239456.22044772044</v>
      </c>
      <c r="K1365" s="6">
        <v>7.4205155855475357E-3</v>
      </c>
      <c r="L1365" s="5">
        <v>2086.8688233688235</v>
      </c>
      <c r="M1365" s="5">
        <v>1420.1564291564291</v>
      </c>
      <c r="N1365" s="11">
        <v>2710.9238329238328</v>
      </c>
      <c r="O1365" s="13">
        <v>2024</v>
      </c>
    </row>
    <row r="1366" spans="1:15" ht="14.5" customHeight="1" x14ac:dyDescent="0.35">
      <c r="A1366" s="20" t="s">
        <v>2726</v>
      </c>
      <c r="B1366" s="2" t="s">
        <v>2727</v>
      </c>
      <c r="C1366" s="17" t="s">
        <v>3109</v>
      </c>
      <c r="D1366" s="2" t="s">
        <v>55</v>
      </c>
      <c r="E1366" s="15" t="s">
        <v>207</v>
      </c>
      <c r="F1366" t="s">
        <v>208</v>
      </c>
      <c r="G1366" s="2" t="str">
        <f t="shared" si="21"/>
        <v>Medium</v>
      </c>
      <c r="H1366" s="3">
        <v>5752</v>
      </c>
      <c r="I1366" s="4">
        <v>1.3</v>
      </c>
      <c r="J1366" s="5">
        <v>372105.28581363003</v>
      </c>
      <c r="K1366" s="6">
        <v>6.6574647307010701E-3</v>
      </c>
      <c r="L1366" s="5">
        <v>2805.1721140472878</v>
      </c>
      <c r="M1366" s="5">
        <v>0</v>
      </c>
      <c r="N1366" s="11">
        <v>3221.7380041724618</v>
      </c>
      <c r="O1366" s="13">
        <v>2024</v>
      </c>
    </row>
    <row r="1367" spans="1:15" ht="14.5" customHeight="1" x14ac:dyDescent="0.35">
      <c r="A1367" s="20" t="s">
        <v>2728</v>
      </c>
      <c r="B1367" s="2" t="s">
        <v>2729</v>
      </c>
      <c r="C1367" s="17" t="s">
        <v>3109</v>
      </c>
      <c r="D1367" s="2" t="s">
        <v>289</v>
      </c>
      <c r="E1367" s="15" t="s">
        <v>178</v>
      </c>
      <c r="F1367" t="s">
        <v>170</v>
      </c>
      <c r="G1367" s="2" t="str">
        <f t="shared" si="21"/>
        <v>Medium</v>
      </c>
      <c r="H1367" s="3">
        <v>5056</v>
      </c>
      <c r="I1367" s="4">
        <v>2.4</v>
      </c>
      <c r="J1367" s="5">
        <v>51465.300237341769</v>
      </c>
      <c r="K1367" s="6">
        <v>1.3794200419803258E-2</v>
      </c>
      <c r="L1367" s="5">
        <v>910.02373417721515</v>
      </c>
      <c r="M1367" s="5">
        <v>1594.523536392405</v>
      </c>
      <c r="N1367" s="11">
        <v>3443.1728639240505</v>
      </c>
      <c r="O1367" s="13">
        <v>2024</v>
      </c>
    </row>
    <row r="1368" spans="1:15" ht="14.5" customHeight="1" x14ac:dyDescent="0.35">
      <c r="A1368" s="20" t="s">
        <v>2730</v>
      </c>
      <c r="B1368" s="2" t="s">
        <v>2731</v>
      </c>
      <c r="C1368" s="17" t="s">
        <v>3109</v>
      </c>
      <c r="D1368" s="2" t="s">
        <v>231</v>
      </c>
      <c r="E1368" s="15" t="s">
        <v>178</v>
      </c>
      <c r="F1368" t="s">
        <v>170</v>
      </c>
      <c r="G1368" s="2" t="str">
        <f t="shared" si="21"/>
        <v>Medium</v>
      </c>
      <c r="H1368" s="3">
        <v>3536</v>
      </c>
      <c r="I1368" s="4">
        <v>2.2999999999999998</v>
      </c>
      <c r="J1368" s="5">
        <v>43597.863404977375</v>
      </c>
      <c r="K1368" s="6">
        <v>1.5009980180270704E-2</v>
      </c>
      <c r="L1368" s="5">
        <v>695.74231334841636</v>
      </c>
      <c r="M1368" s="5">
        <v>2614.5214111990954</v>
      </c>
      <c r="N1368" s="11">
        <v>1757.8263829185521</v>
      </c>
      <c r="O1368" s="13">
        <v>2024</v>
      </c>
    </row>
    <row r="1369" spans="1:15" ht="14.5" customHeight="1" x14ac:dyDescent="0.35">
      <c r="A1369" s="20" t="s">
        <v>2732</v>
      </c>
      <c r="B1369" s="2" t="s">
        <v>2733</v>
      </c>
      <c r="C1369" s="17" t="s">
        <v>3109</v>
      </c>
      <c r="D1369" s="2" t="s">
        <v>15</v>
      </c>
      <c r="E1369" s="15" t="s">
        <v>178</v>
      </c>
      <c r="F1369" t="s">
        <v>170</v>
      </c>
      <c r="G1369" s="2" t="str">
        <f t="shared" si="21"/>
        <v>Medium</v>
      </c>
      <c r="H1369" s="3">
        <v>1851</v>
      </c>
      <c r="I1369" s="4">
        <v>1.2</v>
      </c>
      <c r="J1369" s="5">
        <v>55773.927606699079</v>
      </c>
      <c r="K1369" s="6">
        <v>5.0584506372391286E-3</v>
      </c>
      <c r="L1369" s="5">
        <v>607.66862776877372</v>
      </c>
      <c r="M1369" s="5">
        <v>0</v>
      </c>
      <c r="N1369" s="11">
        <v>1147.5937655321447</v>
      </c>
      <c r="O1369" s="13">
        <v>2024</v>
      </c>
    </row>
    <row r="1370" spans="1:15" ht="14.5" customHeight="1" x14ac:dyDescent="0.35">
      <c r="A1370" s="20" t="s">
        <v>2734</v>
      </c>
      <c r="B1370" s="2" t="s">
        <v>2735</v>
      </c>
      <c r="C1370" s="17" t="s">
        <v>3109</v>
      </c>
      <c r="D1370" s="2" t="s">
        <v>94</v>
      </c>
      <c r="E1370" s="15" t="s">
        <v>169</v>
      </c>
      <c r="F1370" t="s">
        <v>170</v>
      </c>
      <c r="G1370" s="2" t="str">
        <f t="shared" si="21"/>
        <v>Medium</v>
      </c>
      <c r="H1370" s="3">
        <v>1098</v>
      </c>
      <c r="I1370" s="4">
        <v>0.9</v>
      </c>
      <c r="J1370" s="5">
        <v>42972.198542805098</v>
      </c>
      <c r="K1370" s="6">
        <v>7.6467875171717962E-3</v>
      </c>
      <c r="L1370" s="5">
        <v>498.58469945355193</v>
      </c>
      <c r="M1370" s="5">
        <v>9000.0992714025506</v>
      </c>
      <c r="N1370" s="11">
        <v>2713.6502732240438</v>
      </c>
      <c r="O1370" s="13">
        <v>2024</v>
      </c>
    </row>
    <row r="1371" spans="1:15" ht="14.5" customHeight="1" x14ac:dyDescent="0.35">
      <c r="A1371" s="20" t="s">
        <v>2736</v>
      </c>
      <c r="B1371" s="2" t="s">
        <v>2737</v>
      </c>
      <c r="C1371" s="17" t="s">
        <v>3109</v>
      </c>
      <c r="D1371" s="2" t="s">
        <v>37</v>
      </c>
      <c r="E1371" s="15" t="s">
        <v>217</v>
      </c>
      <c r="F1371" t="s">
        <v>170</v>
      </c>
      <c r="G1371" s="2" t="str">
        <f t="shared" si="21"/>
        <v>Medium</v>
      </c>
      <c r="H1371" s="3">
        <v>1377</v>
      </c>
      <c r="I1371" s="4">
        <v>1.2</v>
      </c>
      <c r="J1371" s="5">
        <v>70178.812636165574</v>
      </c>
      <c r="K1371" s="6">
        <v>5.7556573634783437E-3</v>
      </c>
      <c r="L1371" s="5">
        <v>566.18809005083517</v>
      </c>
      <c r="M1371" s="5">
        <v>1036.7196804647785</v>
      </c>
      <c r="N1371" s="11">
        <v>1590.7567175018155</v>
      </c>
      <c r="O1371" s="13">
        <v>2024</v>
      </c>
    </row>
    <row r="1372" spans="1:15" ht="14.5" customHeight="1" x14ac:dyDescent="0.35">
      <c r="A1372" s="20" t="s">
        <v>2738</v>
      </c>
      <c r="B1372" s="2" t="s">
        <v>2739</v>
      </c>
      <c r="C1372" s="17" t="s">
        <v>3109</v>
      </c>
      <c r="D1372" s="2" t="s">
        <v>26</v>
      </c>
      <c r="E1372" s="15" t="s">
        <v>183</v>
      </c>
      <c r="F1372" t="s">
        <v>170</v>
      </c>
      <c r="G1372" s="2" t="str">
        <f t="shared" si="21"/>
        <v>Medium</v>
      </c>
      <c r="H1372" s="3">
        <v>2226</v>
      </c>
      <c r="I1372" s="4">
        <v>1.2</v>
      </c>
      <c r="J1372" s="5">
        <v>40685.348607367472</v>
      </c>
      <c r="K1372" s="6">
        <v>9.806793498802072E-3</v>
      </c>
      <c r="L1372" s="5">
        <v>501.89892183288407</v>
      </c>
      <c r="M1372" s="5">
        <v>2026.1190476190477</v>
      </c>
      <c r="N1372" s="11">
        <v>1286.6217430368374</v>
      </c>
      <c r="O1372" s="13">
        <v>2024</v>
      </c>
    </row>
    <row r="1373" spans="1:15" ht="14.5" customHeight="1" x14ac:dyDescent="0.35">
      <c r="A1373" s="20" t="s">
        <v>2740</v>
      </c>
      <c r="B1373" s="2" t="s">
        <v>2741</v>
      </c>
      <c r="C1373" s="17" t="s">
        <v>3109</v>
      </c>
      <c r="D1373" s="2" t="s">
        <v>513</v>
      </c>
      <c r="E1373" s="15" t="s">
        <v>207</v>
      </c>
      <c r="F1373" t="s">
        <v>208</v>
      </c>
      <c r="G1373" s="2" t="str">
        <f t="shared" si="21"/>
        <v>Medium</v>
      </c>
      <c r="H1373" s="3">
        <v>2517</v>
      </c>
      <c r="I1373" s="4">
        <v>0.7</v>
      </c>
      <c r="J1373" s="5">
        <v>258230.02065951528</v>
      </c>
      <c r="K1373" s="6">
        <v>7.6619391677300907E-3</v>
      </c>
      <c r="L1373" s="5">
        <v>2120.6813667063966</v>
      </c>
      <c r="M1373" s="5">
        <v>1186.8967024235201</v>
      </c>
      <c r="N1373" s="11">
        <v>2914.4696066746128</v>
      </c>
      <c r="O1373" s="13">
        <v>2024</v>
      </c>
    </row>
    <row r="1374" spans="1:15" ht="14.5" customHeight="1" x14ac:dyDescent="0.35">
      <c r="A1374" s="20" t="s">
        <v>2742</v>
      </c>
      <c r="B1374" s="2" t="s">
        <v>2743</v>
      </c>
      <c r="C1374" s="17" t="s">
        <v>3109</v>
      </c>
      <c r="D1374" s="2" t="s">
        <v>79</v>
      </c>
      <c r="E1374" s="15" t="s">
        <v>178</v>
      </c>
      <c r="F1374" t="s">
        <v>170</v>
      </c>
      <c r="G1374" s="2" t="str">
        <f t="shared" si="21"/>
        <v>Medium</v>
      </c>
      <c r="H1374" s="3">
        <v>1419</v>
      </c>
      <c r="I1374" s="4">
        <v>0.7</v>
      </c>
      <c r="J1374" s="5">
        <v>164152.85764622974</v>
      </c>
      <c r="K1374" s="6">
        <v>4.138942928651493E-3</v>
      </c>
      <c r="L1374" s="5">
        <v>1208.3572938689217</v>
      </c>
      <c r="M1374" s="5">
        <v>104.36786469344609</v>
      </c>
      <c r="N1374" s="11">
        <v>1418.1508104298803</v>
      </c>
      <c r="O1374" s="13">
        <v>2024</v>
      </c>
    </row>
    <row r="1375" spans="1:15" ht="14.5" customHeight="1" x14ac:dyDescent="0.35">
      <c r="A1375" s="20" t="s">
        <v>2744</v>
      </c>
      <c r="B1375" s="2" t="s">
        <v>2745</v>
      </c>
      <c r="C1375" s="17" t="s">
        <v>3109</v>
      </c>
      <c r="D1375" s="2" t="s">
        <v>30</v>
      </c>
      <c r="E1375" s="15" t="s">
        <v>273</v>
      </c>
      <c r="F1375" t="s">
        <v>208</v>
      </c>
      <c r="G1375" s="2" t="str">
        <f t="shared" si="21"/>
        <v>Medium</v>
      </c>
      <c r="H1375" s="3">
        <v>1448</v>
      </c>
      <c r="I1375" s="4">
        <v>0.5</v>
      </c>
      <c r="J1375" s="5">
        <v>853648.53383977897</v>
      </c>
      <c r="K1375" s="6">
        <v>2.3272246449499768E-3</v>
      </c>
      <c r="L1375" s="5">
        <v>2041.6864640883978</v>
      </c>
      <c r="M1375" s="5">
        <v>1018.646408839779</v>
      </c>
      <c r="N1375" s="11">
        <v>3219.4834254143648</v>
      </c>
      <c r="O1375" s="13">
        <v>2024</v>
      </c>
    </row>
    <row r="1376" spans="1:15" ht="14.5" customHeight="1" x14ac:dyDescent="0.35">
      <c r="A1376" s="20" t="s">
        <v>2746</v>
      </c>
      <c r="B1376" s="2" t="s">
        <v>2747</v>
      </c>
      <c r="C1376" s="17" t="s">
        <v>3109</v>
      </c>
      <c r="D1376" s="2" t="s">
        <v>30</v>
      </c>
      <c r="E1376" s="15" t="s">
        <v>273</v>
      </c>
      <c r="F1376" t="s">
        <v>208</v>
      </c>
      <c r="G1376" s="2" t="str">
        <f t="shared" si="21"/>
        <v>Medium</v>
      </c>
      <c r="H1376" s="3">
        <v>1009</v>
      </c>
      <c r="I1376" s="4">
        <v>0.2</v>
      </c>
      <c r="J1376" s="5">
        <v>234321.1100099108</v>
      </c>
      <c r="K1376" s="6">
        <v>1.578386837541767E-3</v>
      </c>
      <c r="L1376" s="5">
        <v>400.47472745292367</v>
      </c>
      <c r="M1376" s="5">
        <v>0</v>
      </c>
      <c r="N1376" s="11">
        <v>586.66005946481664</v>
      </c>
      <c r="O1376" s="13">
        <v>2024</v>
      </c>
    </row>
    <row r="1377" spans="1:15" ht="14.5" customHeight="1" x14ac:dyDescent="0.35">
      <c r="A1377" s="20" t="s">
        <v>2748</v>
      </c>
      <c r="B1377" s="2" t="s">
        <v>2749</v>
      </c>
      <c r="C1377" s="17" t="s">
        <v>3109</v>
      </c>
      <c r="D1377" s="2" t="s">
        <v>30</v>
      </c>
      <c r="E1377" s="15" t="s">
        <v>273</v>
      </c>
      <c r="F1377" t="s">
        <v>208</v>
      </c>
      <c r="G1377" s="2" t="str">
        <f t="shared" si="21"/>
        <v>Small</v>
      </c>
      <c r="H1377" s="3">
        <v>793</v>
      </c>
      <c r="I1377" s="4">
        <v>0.5</v>
      </c>
      <c r="J1377" s="5">
        <v>578874.31651954597</v>
      </c>
      <c r="K1377" s="6">
        <v>1.5946852260657837E-3</v>
      </c>
      <c r="L1377" s="5">
        <v>952.81588902900376</v>
      </c>
      <c r="M1377" s="5">
        <v>378.31021437578812</v>
      </c>
      <c r="N1377" s="11">
        <v>1456.8348045397227</v>
      </c>
      <c r="O1377" s="13">
        <v>2024</v>
      </c>
    </row>
    <row r="1378" spans="1:15" ht="14.5" customHeight="1" x14ac:dyDescent="0.35">
      <c r="A1378" s="20" t="s">
        <v>2750</v>
      </c>
      <c r="B1378" s="2" t="s">
        <v>2751</v>
      </c>
      <c r="C1378" s="17" t="s">
        <v>3109</v>
      </c>
      <c r="D1378" s="2" t="s">
        <v>55</v>
      </c>
      <c r="E1378" s="15" t="s">
        <v>207</v>
      </c>
      <c r="F1378" t="s">
        <v>208</v>
      </c>
      <c r="G1378" s="2" t="str">
        <f t="shared" si="21"/>
        <v>Medium</v>
      </c>
      <c r="H1378" s="3">
        <v>7513</v>
      </c>
      <c r="I1378" s="4">
        <v>1.8</v>
      </c>
      <c r="J1378" s="5">
        <v>214230.6841474777</v>
      </c>
      <c r="K1378" s="6">
        <v>8.6515371868545275E-3</v>
      </c>
      <c r="L1378" s="5">
        <v>2174.194596033542</v>
      </c>
      <c r="M1378" s="5">
        <v>565.68614401703712</v>
      </c>
      <c r="N1378" s="11">
        <v>3258.4646612538268</v>
      </c>
      <c r="O1378" s="13">
        <v>2024</v>
      </c>
    </row>
    <row r="1379" spans="1:15" ht="14.5" customHeight="1" x14ac:dyDescent="0.35">
      <c r="A1379" s="20" t="s">
        <v>2752</v>
      </c>
      <c r="B1379" s="2" t="s">
        <v>2753</v>
      </c>
      <c r="C1379" s="17" t="s">
        <v>3109</v>
      </c>
      <c r="D1379" s="2" t="s">
        <v>46</v>
      </c>
      <c r="E1379" s="15" t="s">
        <v>214</v>
      </c>
      <c r="F1379" t="s">
        <v>170</v>
      </c>
      <c r="G1379" s="2" t="str">
        <f t="shared" si="21"/>
        <v>Small</v>
      </c>
      <c r="H1379" s="3">
        <v>464</v>
      </c>
      <c r="I1379" s="4">
        <v>0.5</v>
      </c>
      <c r="J1379" s="5">
        <v>54532.504310344826</v>
      </c>
      <c r="K1379" s="6">
        <v>2.5092899750315E-3</v>
      </c>
      <c r="L1379" s="5">
        <v>263.81866379310344</v>
      </c>
      <c r="M1379" s="5">
        <v>3116.3793103448274</v>
      </c>
      <c r="N1379" s="11">
        <v>951.1871551724139</v>
      </c>
      <c r="O1379" s="13">
        <v>2024</v>
      </c>
    </row>
    <row r="1380" spans="1:15" ht="14.5" customHeight="1" x14ac:dyDescent="0.35">
      <c r="A1380" s="20" t="s">
        <v>2754</v>
      </c>
      <c r="B1380" s="2" t="s">
        <v>2755</v>
      </c>
      <c r="C1380" s="17" t="s">
        <v>3109</v>
      </c>
      <c r="D1380" s="2" t="s">
        <v>513</v>
      </c>
      <c r="E1380" s="15" t="s">
        <v>207</v>
      </c>
      <c r="F1380" t="s">
        <v>208</v>
      </c>
      <c r="G1380" s="2" t="str">
        <f t="shared" si="21"/>
        <v>Medium</v>
      </c>
      <c r="H1380" s="3">
        <v>3824</v>
      </c>
      <c r="I1380" s="4">
        <v>2.4</v>
      </c>
      <c r="J1380" s="5">
        <v>176101.69665271966</v>
      </c>
      <c r="K1380" s="6">
        <v>2.6137961291884271E-3</v>
      </c>
      <c r="L1380" s="5">
        <v>524.83106694560672</v>
      </c>
      <c r="M1380" s="5">
        <v>26.15062761506276</v>
      </c>
      <c r="N1380" s="11">
        <v>381.07452928870293</v>
      </c>
      <c r="O1380" s="13">
        <v>2024</v>
      </c>
    </row>
    <row r="1381" spans="1:15" ht="14.5" customHeight="1" x14ac:dyDescent="0.35">
      <c r="A1381" s="20" t="s">
        <v>2756</v>
      </c>
      <c r="B1381" s="2" t="s">
        <v>2757</v>
      </c>
      <c r="C1381" s="17" t="s">
        <v>3109</v>
      </c>
      <c r="D1381" s="2" t="s">
        <v>272</v>
      </c>
      <c r="E1381" s="15" t="s">
        <v>273</v>
      </c>
      <c r="F1381" t="s">
        <v>208</v>
      </c>
      <c r="G1381" s="2" t="str">
        <f t="shared" ref="G1381:G1444" si="22">IF(H1381&lt;=1000,"Small",IF(H1381&lt;=11000,"Medium",IF(H1381&gt;=11000,"Large")))</f>
        <v>Small</v>
      </c>
      <c r="H1381" s="3">
        <v>903</v>
      </c>
      <c r="I1381" s="4">
        <v>0.4</v>
      </c>
      <c r="J1381" s="5">
        <v>303771.4784053156</v>
      </c>
      <c r="K1381" s="6">
        <v>1.057645022216003E-3</v>
      </c>
      <c r="L1381" s="5">
        <v>349.88372093023258</v>
      </c>
      <c r="M1381" s="5">
        <v>33.222591362126245</v>
      </c>
      <c r="N1381" s="11">
        <v>735.91805094130677</v>
      </c>
      <c r="O1381" s="13">
        <v>2024</v>
      </c>
    </row>
    <row r="1382" spans="1:15" ht="14.5" customHeight="1" x14ac:dyDescent="0.35">
      <c r="A1382" s="20" t="s">
        <v>2758</v>
      </c>
      <c r="B1382" s="2" t="s">
        <v>2759</v>
      </c>
      <c r="C1382" s="17" t="s">
        <v>3109</v>
      </c>
      <c r="D1382" s="2" t="s">
        <v>5</v>
      </c>
      <c r="E1382" s="15" t="s">
        <v>183</v>
      </c>
      <c r="F1382" t="s">
        <v>170</v>
      </c>
      <c r="G1382" s="2" t="str">
        <f t="shared" si="22"/>
        <v>Medium</v>
      </c>
      <c r="H1382" s="3">
        <v>1101</v>
      </c>
      <c r="I1382" s="4">
        <v>1</v>
      </c>
      <c r="J1382" s="5">
        <v>36990.397820163489</v>
      </c>
      <c r="K1382" s="6">
        <v>8.654748459648854E-3</v>
      </c>
      <c r="L1382" s="5">
        <v>491.05479564032692</v>
      </c>
      <c r="M1382" s="5">
        <v>2558.1407811080835</v>
      </c>
      <c r="N1382" s="11">
        <v>1381.2313987284288</v>
      </c>
      <c r="O1382" s="13">
        <v>2024</v>
      </c>
    </row>
    <row r="1383" spans="1:15" ht="14.5" customHeight="1" x14ac:dyDescent="0.35">
      <c r="A1383" s="20" t="s">
        <v>2760</v>
      </c>
      <c r="B1383" s="2" t="s">
        <v>2761</v>
      </c>
      <c r="C1383" s="17" t="s">
        <v>3109</v>
      </c>
      <c r="D1383" s="2" t="s">
        <v>55</v>
      </c>
      <c r="E1383" s="15" t="s">
        <v>207</v>
      </c>
      <c r="F1383" t="s">
        <v>208</v>
      </c>
      <c r="G1383" s="2" t="str">
        <f t="shared" si="22"/>
        <v>Large</v>
      </c>
      <c r="H1383" s="3">
        <v>31693</v>
      </c>
      <c r="I1383" s="4">
        <v>2.2999999999999998</v>
      </c>
      <c r="J1383" s="5">
        <v>118352.46773735525</v>
      </c>
      <c r="K1383" s="6">
        <v>8.5869291767442599E-3</v>
      </c>
      <c r="L1383" s="5">
        <v>1326.7145741961947</v>
      </c>
      <c r="M1383" s="5">
        <v>1656.3581863502982</v>
      </c>
      <c r="N1383" s="11">
        <v>1836.0890417442338</v>
      </c>
      <c r="O1383" s="13">
        <v>2024</v>
      </c>
    </row>
    <row r="1384" spans="1:15" ht="14.5" customHeight="1" x14ac:dyDescent="0.35">
      <c r="A1384" s="20" t="s">
        <v>2762</v>
      </c>
      <c r="B1384" s="2" t="s">
        <v>2763</v>
      </c>
      <c r="C1384" s="17" t="s">
        <v>3109</v>
      </c>
      <c r="D1384" s="2" t="s">
        <v>11</v>
      </c>
      <c r="E1384" s="15" t="s">
        <v>173</v>
      </c>
      <c r="F1384" t="s">
        <v>170</v>
      </c>
      <c r="G1384" s="2" t="str">
        <f t="shared" si="22"/>
        <v>Medium</v>
      </c>
      <c r="H1384" s="3">
        <v>1699</v>
      </c>
      <c r="I1384" s="4">
        <v>0.6</v>
      </c>
      <c r="J1384" s="5">
        <v>41103.24249558564</v>
      </c>
      <c r="K1384" s="6">
        <v>6.196165131146166E-3</v>
      </c>
      <c r="L1384" s="5">
        <v>619.83378457916422</v>
      </c>
      <c r="M1384" s="5">
        <v>88.512489699823419</v>
      </c>
      <c r="N1384" s="11">
        <v>987.39861683343145</v>
      </c>
      <c r="O1384" s="13">
        <v>2024</v>
      </c>
    </row>
    <row r="1385" spans="1:15" ht="14.5" customHeight="1" x14ac:dyDescent="0.35">
      <c r="A1385" s="20" t="s">
        <v>2764</v>
      </c>
      <c r="B1385" s="2" t="s">
        <v>2765</v>
      </c>
      <c r="C1385" s="17" t="s">
        <v>3109</v>
      </c>
      <c r="D1385" s="2" t="s">
        <v>272</v>
      </c>
      <c r="E1385" s="15" t="s">
        <v>273</v>
      </c>
      <c r="F1385" t="s">
        <v>208</v>
      </c>
      <c r="G1385" s="2" t="str">
        <f t="shared" si="22"/>
        <v>Medium</v>
      </c>
      <c r="H1385" s="3">
        <v>7962</v>
      </c>
      <c r="I1385" s="4">
        <v>3.1</v>
      </c>
      <c r="J1385" s="5">
        <v>397690.23825671943</v>
      </c>
      <c r="K1385" s="6">
        <v>2.1016073972793129E-3</v>
      </c>
      <c r="L1385" s="5">
        <v>927.88093443858327</v>
      </c>
      <c r="M1385" s="5">
        <v>1181.1102738005527</v>
      </c>
      <c r="N1385" s="11">
        <v>2006.8982667671439</v>
      </c>
      <c r="O1385" s="13">
        <v>2024</v>
      </c>
    </row>
    <row r="1386" spans="1:15" ht="14.5" customHeight="1" x14ac:dyDescent="0.35">
      <c r="A1386" s="20" t="s">
        <v>2766</v>
      </c>
      <c r="B1386" s="2" t="s">
        <v>2767</v>
      </c>
      <c r="C1386" s="17" t="s">
        <v>3109</v>
      </c>
      <c r="D1386" s="2" t="s">
        <v>597</v>
      </c>
      <c r="E1386" s="15" t="s">
        <v>169</v>
      </c>
      <c r="F1386" t="s">
        <v>170</v>
      </c>
      <c r="G1386" s="2" t="str">
        <f t="shared" si="22"/>
        <v>Small</v>
      </c>
      <c r="H1386" s="3">
        <v>554</v>
      </c>
      <c r="I1386" s="4">
        <v>0.6</v>
      </c>
      <c r="J1386" s="5">
        <v>35378.427797833938</v>
      </c>
      <c r="K1386" s="6">
        <v>9.2948863523015113E-3</v>
      </c>
      <c r="L1386" s="5">
        <v>350.89075812274376</v>
      </c>
      <c r="M1386" s="5">
        <v>3165.1624548736463</v>
      </c>
      <c r="N1386" s="11">
        <v>1380.8399638989169</v>
      </c>
      <c r="O1386" s="13">
        <v>2024</v>
      </c>
    </row>
    <row r="1387" spans="1:15" ht="14.5" customHeight="1" x14ac:dyDescent="0.35">
      <c r="A1387" s="20" t="s">
        <v>2768</v>
      </c>
      <c r="B1387" s="2" t="s">
        <v>2769</v>
      </c>
      <c r="C1387" s="17" t="s">
        <v>3109</v>
      </c>
      <c r="D1387" s="2" t="s">
        <v>30</v>
      </c>
      <c r="E1387" s="15" t="s">
        <v>273</v>
      </c>
      <c r="F1387" t="s">
        <v>208</v>
      </c>
      <c r="G1387" s="2" t="str">
        <f t="shared" si="22"/>
        <v>Medium</v>
      </c>
      <c r="H1387" s="3">
        <v>3160</v>
      </c>
      <c r="I1387" s="4">
        <v>0.5</v>
      </c>
      <c r="J1387" s="5">
        <v>350904.37373417721</v>
      </c>
      <c r="K1387" s="6">
        <v>1.2933055733932548E-3</v>
      </c>
      <c r="L1387" s="5">
        <v>524.56139240506332</v>
      </c>
      <c r="M1387" s="5">
        <v>0</v>
      </c>
      <c r="N1387" s="11">
        <v>762.15253164556964</v>
      </c>
      <c r="O1387" s="13">
        <v>2024</v>
      </c>
    </row>
    <row r="1388" spans="1:15" ht="14.5" customHeight="1" x14ac:dyDescent="0.35">
      <c r="A1388" s="20" t="s">
        <v>2770</v>
      </c>
      <c r="B1388" s="2" t="s">
        <v>2771</v>
      </c>
      <c r="C1388" s="17" t="s">
        <v>3109</v>
      </c>
      <c r="D1388" s="2" t="s">
        <v>65</v>
      </c>
      <c r="E1388" s="15" t="s">
        <v>186</v>
      </c>
      <c r="F1388" t="s">
        <v>170</v>
      </c>
      <c r="G1388" s="2" t="str">
        <f t="shared" si="22"/>
        <v>Small</v>
      </c>
      <c r="H1388" s="3">
        <v>892</v>
      </c>
      <c r="I1388" s="4">
        <v>0.8</v>
      </c>
      <c r="J1388" s="5">
        <v>38459.718609865471</v>
      </c>
      <c r="K1388" s="6">
        <v>8.7448083894426949E-3</v>
      </c>
      <c r="L1388" s="5">
        <v>567.63779147982063</v>
      </c>
      <c r="M1388" s="5">
        <v>1099.1724327354261</v>
      </c>
      <c r="N1388" s="11">
        <v>1454.0299551569506</v>
      </c>
      <c r="O1388" s="13">
        <v>2024</v>
      </c>
    </row>
    <row r="1389" spans="1:15" ht="14.5" customHeight="1" x14ac:dyDescent="0.35">
      <c r="A1389" s="20" t="s">
        <v>2772</v>
      </c>
      <c r="B1389" s="2" t="s">
        <v>2773</v>
      </c>
      <c r="C1389" s="17" t="s">
        <v>3109</v>
      </c>
      <c r="D1389" s="2" t="s">
        <v>63</v>
      </c>
      <c r="E1389" s="15" t="s">
        <v>169</v>
      </c>
      <c r="F1389" t="s">
        <v>170</v>
      </c>
      <c r="G1389" s="2" t="str">
        <f t="shared" si="22"/>
        <v>Medium</v>
      </c>
      <c r="H1389" s="3">
        <v>8312</v>
      </c>
      <c r="I1389" s="4">
        <v>4.5</v>
      </c>
      <c r="J1389" s="5">
        <v>31899.785490856593</v>
      </c>
      <c r="K1389" s="6">
        <v>1.4992090337711206E-2</v>
      </c>
      <c r="L1389" s="5">
        <v>721.5202117420597</v>
      </c>
      <c r="M1389" s="5">
        <v>1820.4930221366699</v>
      </c>
      <c r="N1389" s="11">
        <v>1504.9268527430222</v>
      </c>
      <c r="O1389" s="13">
        <v>2024</v>
      </c>
    </row>
    <row r="1390" spans="1:15" ht="14.5" customHeight="1" x14ac:dyDescent="0.35">
      <c r="A1390" s="20" t="s">
        <v>2774</v>
      </c>
      <c r="B1390" s="2" t="s">
        <v>2775</v>
      </c>
      <c r="C1390" s="17" t="s">
        <v>3109</v>
      </c>
      <c r="D1390" s="2" t="s">
        <v>26</v>
      </c>
      <c r="E1390" s="15" t="s">
        <v>183</v>
      </c>
      <c r="F1390" t="s">
        <v>170</v>
      </c>
      <c r="G1390" s="2" t="str">
        <f t="shared" si="22"/>
        <v>Medium</v>
      </c>
      <c r="H1390" s="3">
        <v>2186</v>
      </c>
      <c r="I1390" s="4">
        <v>3.5</v>
      </c>
      <c r="J1390" s="5">
        <v>68060.079139981695</v>
      </c>
      <c r="K1390" s="6">
        <v>4.6104320147745256E-3</v>
      </c>
      <c r="L1390" s="5">
        <v>663.13174748398899</v>
      </c>
      <c r="M1390" s="5">
        <v>2063.7946020128088</v>
      </c>
      <c r="N1390" s="11">
        <v>1922.9467749313817</v>
      </c>
      <c r="O1390" s="13">
        <v>2024</v>
      </c>
    </row>
    <row r="1391" spans="1:15" ht="14.5" customHeight="1" x14ac:dyDescent="0.35">
      <c r="A1391" s="20" t="s">
        <v>2776</v>
      </c>
      <c r="B1391" s="2" t="s">
        <v>2777</v>
      </c>
      <c r="C1391" s="17" t="s">
        <v>3109</v>
      </c>
      <c r="D1391" s="2" t="s">
        <v>272</v>
      </c>
      <c r="E1391" s="15" t="s">
        <v>273</v>
      </c>
      <c r="F1391" t="s">
        <v>208</v>
      </c>
      <c r="G1391" s="2" t="str">
        <f t="shared" si="22"/>
        <v>Medium</v>
      </c>
      <c r="H1391" s="3">
        <v>1662</v>
      </c>
      <c r="I1391" s="4">
        <v>4.2</v>
      </c>
      <c r="J1391" s="5">
        <v>3026032.2436823105</v>
      </c>
      <c r="K1391" s="6">
        <v>1.568420251508018E-3</v>
      </c>
      <c r="L1391" s="5">
        <v>4873.36642599278</v>
      </c>
      <c r="M1391" s="5">
        <v>1633.5740072202166</v>
      </c>
      <c r="N1391" s="11">
        <v>6206.4350180505417</v>
      </c>
      <c r="O1391" s="13">
        <v>2024</v>
      </c>
    </row>
    <row r="1392" spans="1:15" ht="14.5" customHeight="1" x14ac:dyDescent="0.35">
      <c r="A1392" s="20" t="s">
        <v>2778</v>
      </c>
      <c r="B1392" s="2" t="s">
        <v>2779</v>
      </c>
      <c r="C1392" s="17" t="s">
        <v>3109</v>
      </c>
      <c r="D1392" s="2" t="s">
        <v>1</v>
      </c>
      <c r="E1392" s="15" t="s">
        <v>217</v>
      </c>
      <c r="F1392" t="s">
        <v>170</v>
      </c>
      <c r="G1392" s="2" t="str">
        <f t="shared" si="22"/>
        <v>Medium</v>
      </c>
      <c r="H1392" s="3">
        <v>3271</v>
      </c>
      <c r="I1392" s="4">
        <v>1.5</v>
      </c>
      <c r="J1392" s="5">
        <v>64813.18343014369</v>
      </c>
      <c r="K1392" s="6">
        <v>4.7021245451198557E-3</v>
      </c>
      <c r="L1392" s="5">
        <v>660.65151024151646</v>
      </c>
      <c r="M1392" s="5">
        <v>904.28217670437175</v>
      </c>
      <c r="N1392" s="11">
        <v>1297.0665545704678</v>
      </c>
      <c r="O1392" s="13">
        <v>2024</v>
      </c>
    </row>
    <row r="1393" spans="1:15" ht="14.5" customHeight="1" x14ac:dyDescent="0.35">
      <c r="A1393" s="20" t="s">
        <v>2780</v>
      </c>
      <c r="B1393" s="2" t="s">
        <v>2781</v>
      </c>
      <c r="C1393" s="17" t="s">
        <v>3109</v>
      </c>
      <c r="D1393" s="2" t="s">
        <v>234</v>
      </c>
      <c r="E1393" s="15" t="s">
        <v>178</v>
      </c>
      <c r="F1393" t="s">
        <v>170</v>
      </c>
      <c r="G1393" s="2" t="str">
        <f t="shared" si="22"/>
        <v>Small</v>
      </c>
      <c r="H1393" s="3">
        <v>495</v>
      </c>
      <c r="I1393" s="4">
        <v>0.9</v>
      </c>
      <c r="J1393" s="5">
        <v>53531.927272727269</v>
      </c>
      <c r="K1393" s="6">
        <v>9.1449226335391133E-3</v>
      </c>
      <c r="L1393" s="5">
        <v>605.05006060606058</v>
      </c>
      <c r="M1393" s="5">
        <v>311.2749292929293</v>
      </c>
      <c r="N1393" s="11">
        <v>1331.1709494949496</v>
      </c>
      <c r="O1393" s="13">
        <v>2024</v>
      </c>
    </row>
    <row r="1394" spans="1:15" ht="14.5" customHeight="1" x14ac:dyDescent="0.35">
      <c r="A1394" s="20" t="s">
        <v>2782</v>
      </c>
      <c r="B1394" s="2" t="s">
        <v>2783</v>
      </c>
      <c r="C1394" s="17" t="s">
        <v>3109</v>
      </c>
      <c r="D1394" s="2" t="s">
        <v>9</v>
      </c>
      <c r="E1394" s="15" t="s">
        <v>207</v>
      </c>
      <c r="F1394" t="s">
        <v>208</v>
      </c>
      <c r="G1394" s="2" t="str">
        <f t="shared" si="22"/>
        <v>Medium</v>
      </c>
      <c r="H1394" s="3">
        <v>1975</v>
      </c>
      <c r="I1394" s="4">
        <v>1.1000000000000001</v>
      </c>
      <c r="J1394" s="5">
        <v>124503.88</v>
      </c>
      <c r="K1394" s="6">
        <v>5.5689180026692918E-3</v>
      </c>
      <c r="L1394" s="5">
        <v>793.3949012658228</v>
      </c>
      <c r="M1394" s="5">
        <v>4339.8278481012658</v>
      </c>
      <c r="N1394" s="11">
        <v>1797.7051189873416</v>
      </c>
      <c r="O1394" s="13">
        <v>2024</v>
      </c>
    </row>
    <row r="1395" spans="1:15" ht="14.5" customHeight="1" x14ac:dyDescent="0.35">
      <c r="A1395" s="20" t="s">
        <v>2784</v>
      </c>
      <c r="B1395" s="2" t="s">
        <v>2785</v>
      </c>
      <c r="C1395" s="17" t="s">
        <v>3109</v>
      </c>
      <c r="D1395" s="2" t="s">
        <v>81</v>
      </c>
      <c r="E1395" s="15" t="s">
        <v>214</v>
      </c>
      <c r="F1395" t="s">
        <v>170</v>
      </c>
      <c r="G1395" s="2" t="str">
        <f t="shared" si="22"/>
        <v>Small</v>
      </c>
      <c r="H1395" s="3">
        <v>431</v>
      </c>
      <c r="I1395" s="4">
        <v>0.4</v>
      </c>
      <c r="J1395" s="5">
        <v>39059.642691415313</v>
      </c>
      <c r="K1395" s="6">
        <v>3.2751953018959759E-3</v>
      </c>
      <c r="L1395" s="5">
        <v>480.56645011600932</v>
      </c>
      <c r="M1395" s="5">
        <v>1661.0951276102089</v>
      </c>
      <c r="N1395" s="11">
        <v>1090.5436194895592</v>
      </c>
      <c r="O1395" s="13">
        <v>2024</v>
      </c>
    </row>
    <row r="1396" spans="1:15" ht="14.5" customHeight="1" x14ac:dyDescent="0.35">
      <c r="A1396" s="20" t="s">
        <v>2786</v>
      </c>
      <c r="B1396" s="2" t="s">
        <v>2787</v>
      </c>
      <c r="C1396" s="17" t="s">
        <v>3109</v>
      </c>
      <c r="D1396" s="2" t="s">
        <v>63</v>
      </c>
      <c r="E1396" s="15" t="s">
        <v>169</v>
      </c>
      <c r="F1396" t="s">
        <v>170</v>
      </c>
      <c r="G1396" s="2" t="str">
        <f t="shared" si="22"/>
        <v>Small</v>
      </c>
      <c r="H1396" s="3">
        <v>361</v>
      </c>
      <c r="I1396" s="4">
        <v>0.3</v>
      </c>
      <c r="J1396" s="5">
        <v>24219.481994459835</v>
      </c>
      <c r="K1396" s="6" t="s">
        <v>27</v>
      </c>
      <c r="L1396" s="5">
        <v>0</v>
      </c>
      <c r="M1396" s="5">
        <v>0</v>
      </c>
      <c r="N1396" s="11">
        <v>0</v>
      </c>
      <c r="O1396" s="13">
        <v>2024</v>
      </c>
    </row>
    <row r="1397" spans="1:15" ht="14.5" customHeight="1" x14ac:dyDescent="0.35">
      <c r="A1397" s="20" t="s">
        <v>2788</v>
      </c>
      <c r="B1397" s="2" t="s">
        <v>2789</v>
      </c>
      <c r="C1397" s="17" t="s">
        <v>3109</v>
      </c>
      <c r="D1397" s="2" t="s">
        <v>9</v>
      </c>
      <c r="E1397" s="15" t="s">
        <v>207</v>
      </c>
      <c r="F1397" t="s">
        <v>208</v>
      </c>
      <c r="G1397" s="2" t="str">
        <f t="shared" si="22"/>
        <v>Medium</v>
      </c>
      <c r="H1397" s="3">
        <v>2697</v>
      </c>
      <c r="I1397" s="4">
        <v>1.5</v>
      </c>
      <c r="J1397" s="5">
        <v>246709.908045977</v>
      </c>
      <c r="K1397" s="6">
        <v>2.7712680894280053E-3</v>
      </c>
      <c r="L1397" s="5">
        <v>800.42501297738215</v>
      </c>
      <c r="M1397" s="5">
        <v>2161.0544086021505</v>
      </c>
      <c r="N1397" s="11">
        <v>2275.7367741935486</v>
      </c>
      <c r="O1397" s="13">
        <v>2024</v>
      </c>
    </row>
    <row r="1398" spans="1:15" ht="14.5" customHeight="1" x14ac:dyDescent="0.35">
      <c r="A1398" s="20" t="s">
        <v>2790</v>
      </c>
      <c r="B1398" s="2" t="s">
        <v>2791</v>
      </c>
      <c r="C1398" s="17" t="s">
        <v>3109</v>
      </c>
      <c r="D1398" s="2" t="s">
        <v>193</v>
      </c>
      <c r="E1398" s="15" t="s">
        <v>186</v>
      </c>
      <c r="F1398" t="s">
        <v>170</v>
      </c>
      <c r="G1398" s="2" t="str">
        <f t="shared" si="22"/>
        <v>Small</v>
      </c>
      <c r="H1398" s="3">
        <v>401</v>
      </c>
      <c r="I1398" s="4">
        <v>0.9</v>
      </c>
      <c r="J1398" s="5">
        <v>27109.11221945137</v>
      </c>
      <c r="K1398" s="6" t="s">
        <v>27</v>
      </c>
      <c r="L1398" s="5">
        <v>0</v>
      </c>
      <c r="M1398" s="5">
        <v>0</v>
      </c>
      <c r="N1398" s="11">
        <v>0</v>
      </c>
      <c r="O1398" s="13">
        <v>2024</v>
      </c>
    </row>
    <row r="1399" spans="1:15" ht="14.5" customHeight="1" x14ac:dyDescent="0.35">
      <c r="A1399" s="20" t="s">
        <v>2792</v>
      </c>
      <c r="B1399" s="2" t="s">
        <v>2793</v>
      </c>
      <c r="C1399" s="17" t="s">
        <v>3109</v>
      </c>
      <c r="D1399" s="2" t="s">
        <v>69</v>
      </c>
      <c r="E1399" s="15" t="s">
        <v>173</v>
      </c>
      <c r="F1399" t="s">
        <v>170</v>
      </c>
      <c r="G1399" s="2" t="str">
        <f t="shared" si="22"/>
        <v>Medium</v>
      </c>
      <c r="H1399" s="3">
        <v>1050</v>
      </c>
      <c r="I1399" s="4">
        <v>1</v>
      </c>
      <c r="J1399" s="5">
        <v>58372.932380952378</v>
      </c>
      <c r="K1399" s="6">
        <v>9.3298950578512597E-3</v>
      </c>
      <c r="L1399" s="5">
        <v>647.45781904761907</v>
      </c>
      <c r="M1399" s="5">
        <v>1245.4542857142858</v>
      </c>
      <c r="N1399" s="11">
        <v>2122.0641809523809</v>
      </c>
      <c r="O1399" s="13">
        <v>2024</v>
      </c>
    </row>
    <row r="1400" spans="1:15" ht="14.5" customHeight="1" x14ac:dyDescent="0.35">
      <c r="A1400" s="20" t="s">
        <v>2794</v>
      </c>
      <c r="B1400" s="2" t="s">
        <v>2795</v>
      </c>
      <c r="C1400" s="17" t="s">
        <v>3109</v>
      </c>
      <c r="D1400" s="2" t="s">
        <v>338</v>
      </c>
      <c r="E1400" s="15" t="s">
        <v>214</v>
      </c>
      <c r="F1400" t="s">
        <v>170</v>
      </c>
      <c r="G1400" s="2" t="str">
        <f t="shared" si="22"/>
        <v>Small</v>
      </c>
      <c r="H1400" s="3">
        <v>858</v>
      </c>
      <c r="I1400" s="4">
        <v>1.9</v>
      </c>
      <c r="J1400" s="5">
        <v>46946.681818181816</v>
      </c>
      <c r="K1400" s="6">
        <v>5.6108634670194359E-3</v>
      </c>
      <c r="L1400" s="5">
        <v>347.19580419580421</v>
      </c>
      <c r="M1400" s="5">
        <v>926.38111888111894</v>
      </c>
      <c r="N1400" s="11">
        <v>3152.6013986013986</v>
      </c>
      <c r="O1400" s="13">
        <v>2024</v>
      </c>
    </row>
    <row r="1401" spans="1:15" ht="14.5" customHeight="1" x14ac:dyDescent="0.35">
      <c r="A1401" s="20" t="s">
        <v>2796</v>
      </c>
      <c r="B1401" s="2" t="s">
        <v>2797</v>
      </c>
      <c r="C1401" s="17" t="s">
        <v>3109</v>
      </c>
      <c r="D1401" s="2" t="s">
        <v>63</v>
      </c>
      <c r="E1401" s="15" t="s">
        <v>169</v>
      </c>
      <c r="F1401" t="s">
        <v>170</v>
      </c>
      <c r="G1401" s="2" t="str">
        <f t="shared" si="22"/>
        <v>Small</v>
      </c>
      <c r="H1401" s="3">
        <v>234</v>
      </c>
      <c r="I1401" s="4">
        <v>0.7</v>
      </c>
      <c r="J1401" s="5">
        <v>42813.888888888891</v>
      </c>
      <c r="K1401" s="6">
        <v>3.4513871906332815E-3</v>
      </c>
      <c r="L1401" s="5">
        <v>181.29290598290601</v>
      </c>
      <c r="M1401" s="5">
        <v>0</v>
      </c>
      <c r="N1401" s="11">
        <v>297.47931623931623</v>
      </c>
      <c r="O1401" s="13">
        <v>2024</v>
      </c>
    </row>
    <row r="1402" spans="1:15" ht="14.5" customHeight="1" x14ac:dyDescent="0.35">
      <c r="A1402" s="20" t="s">
        <v>2798</v>
      </c>
      <c r="B1402" s="2" t="s">
        <v>2799</v>
      </c>
      <c r="C1402" s="17" t="s">
        <v>3109</v>
      </c>
      <c r="D1402" s="2" t="s">
        <v>18</v>
      </c>
      <c r="E1402" s="15" t="s">
        <v>173</v>
      </c>
      <c r="F1402" t="s">
        <v>170</v>
      </c>
      <c r="G1402" s="2" t="str">
        <f t="shared" si="22"/>
        <v>Small</v>
      </c>
      <c r="H1402" s="3">
        <v>423</v>
      </c>
      <c r="I1402" s="4">
        <v>0.3</v>
      </c>
      <c r="J1402" s="5">
        <v>110230.06146572104</v>
      </c>
      <c r="K1402" s="6" t="s">
        <v>27</v>
      </c>
      <c r="L1402" s="5">
        <v>0</v>
      </c>
      <c r="M1402" s="5">
        <v>0</v>
      </c>
      <c r="N1402" s="11">
        <v>0</v>
      </c>
      <c r="O1402" s="13">
        <v>2024</v>
      </c>
    </row>
    <row r="1403" spans="1:15" ht="14.5" customHeight="1" x14ac:dyDescent="0.35">
      <c r="A1403" s="20" t="s">
        <v>2800</v>
      </c>
      <c r="B1403" s="2" t="s">
        <v>2801</v>
      </c>
      <c r="C1403" s="17" t="s">
        <v>3109</v>
      </c>
      <c r="D1403" s="2" t="s">
        <v>30</v>
      </c>
      <c r="E1403" s="15" t="s">
        <v>273</v>
      </c>
      <c r="F1403" t="s">
        <v>208</v>
      </c>
      <c r="G1403" s="2" t="str">
        <f t="shared" si="22"/>
        <v>Large</v>
      </c>
      <c r="H1403" s="3">
        <v>26016</v>
      </c>
      <c r="I1403" s="4">
        <v>3.3</v>
      </c>
      <c r="J1403" s="5">
        <v>232798.43327183271</v>
      </c>
      <c r="K1403" s="6">
        <v>5.9603753203318934E-3</v>
      </c>
      <c r="L1403" s="5">
        <v>1455.0178736162361</v>
      </c>
      <c r="M1403" s="5">
        <v>2621.079335793358</v>
      </c>
      <c r="N1403" s="11">
        <v>3810.0292512300125</v>
      </c>
      <c r="O1403" s="13">
        <v>2024</v>
      </c>
    </row>
    <row r="1404" spans="1:15" ht="14.5" customHeight="1" x14ac:dyDescent="0.35">
      <c r="A1404" s="20" t="s">
        <v>2802</v>
      </c>
      <c r="B1404" s="2" t="s">
        <v>2803</v>
      </c>
      <c r="C1404" s="17" t="s">
        <v>3109</v>
      </c>
      <c r="D1404" s="2" t="s">
        <v>30</v>
      </c>
      <c r="E1404" s="15" t="s">
        <v>273</v>
      </c>
      <c r="F1404" t="s">
        <v>208</v>
      </c>
      <c r="G1404" s="2" t="str">
        <f t="shared" si="22"/>
        <v>Medium</v>
      </c>
      <c r="H1404" s="3">
        <v>2988</v>
      </c>
      <c r="I1404" s="4">
        <v>0.7</v>
      </c>
      <c r="J1404" s="5">
        <v>252894.10742971889</v>
      </c>
      <c r="K1404" s="6">
        <v>5.3104291433903892E-3</v>
      </c>
      <c r="L1404" s="5">
        <v>1402.2958500669345</v>
      </c>
      <c r="M1404" s="5">
        <v>1527.4303882195447</v>
      </c>
      <c r="N1404" s="11">
        <v>2217.1509370816598</v>
      </c>
      <c r="O1404" s="13">
        <v>2024</v>
      </c>
    </row>
    <row r="1405" spans="1:15" ht="14.5" customHeight="1" x14ac:dyDescent="0.35">
      <c r="A1405" s="20" t="s">
        <v>2804</v>
      </c>
      <c r="B1405" s="2" t="s">
        <v>2805</v>
      </c>
      <c r="C1405" s="17" t="s">
        <v>3109</v>
      </c>
      <c r="D1405" s="2" t="s">
        <v>30</v>
      </c>
      <c r="E1405" s="15" t="s">
        <v>273</v>
      </c>
      <c r="F1405" t="s">
        <v>208</v>
      </c>
      <c r="G1405" s="2" t="str">
        <f t="shared" si="22"/>
        <v>Medium</v>
      </c>
      <c r="H1405" s="3">
        <v>1318</v>
      </c>
      <c r="I1405" s="4">
        <v>0.4</v>
      </c>
      <c r="J1405" s="5">
        <v>502997.38694992411</v>
      </c>
      <c r="K1405" s="6">
        <v>1.9317141955907796E-3</v>
      </c>
      <c r="L1405" s="5">
        <v>1034.7215477996965</v>
      </c>
      <c r="M1405" s="5">
        <v>292.1092564491654</v>
      </c>
      <c r="N1405" s="11">
        <v>1476.7655538694992</v>
      </c>
      <c r="O1405" s="13">
        <v>2024</v>
      </c>
    </row>
    <row r="1406" spans="1:15" ht="14.5" customHeight="1" x14ac:dyDescent="0.35">
      <c r="A1406" s="20" t="s">
        <v>2806</v>
      </c>
      <c r="B1406" s="2" t="s">
        <v>2807</v>
      </c>
      <c r="C1406" s="17" t="s">
        <v>3109</v>
      </c>
      <c r="D1406" s="2" t="s">
        <v>30</v>
      </c>
      <c r="E1406" s="15" t="s">
        <v>273</v>
      </c>
      <c r="F1406" t="s">
        <v>208</v>
      </c>
      <c r="G1406" s="2" t="str">
        <f t="shared" si="22"/>
        <v>Medium</v>
      </c>
      <c r="H1406" s="3">
        <v>1067</v>
      </c>
      <c r="I1406" s="4">
        <v>1.2</v>
      </c>
      <c r="J1406" s="5">
        <v>371228.36551077786</v>
      </c>
      <c r="K1406" s="6">
        <v>1.6434256639194847E-3</v>
      </c>
      <c r="L1406" s="5">
        <v>668.94001874414244</v>
      </c>
      <c r="M1406" s="5">
        <v>0</v>
      </c>
      <c r="N1406" s="11">
        <v>1588.8603561387067</v>
      </c>
      <c r="O1406" s="13">
        <v>2024</v>
      </c>
    </row>
    <row r="1407" spans="1:15" ht="14.5" customHeight="1" x14ac:dyDescent="0.35">
      <c r="A1407" s="20" t="s">
        <v>2808</v>
      </c>
      <c r="B1407" s="2" t="s">
        <v>2809</v>
      </c>
      <c r="C1407" s="17" t="s">
        <v>3109</v>
      </c>
      <c r="D1407" s="2" t="s">
        <v>51</v>
      </c>
      <c r="E1407" s="15" t="s">
        <v>217</v>
      </c>
      <c r="F1407" t="s">
        <v>170</v>
      </c>
      <c r="G1407" s="2" t="str">
        <f t="shared" si="22"/>
        <v>Small</v>
      </c>
      <c r="H1407" s="3">
        <v>828</v>
      </c>
      <c r="I1407" s="4">
        <v>1.1000000000000001</v>
      </c>
      <c r="J1407" s="5">
        <v>143747.19323671499</v>
      </c>
      <c r="K1407" s="6">
        <v>4.4622466730625341E-3</v>
      </c>
      <c r="L1407" s="5">
        <v>1034.9567149758454</v>
      </c>
      <c r="M1407" s="5">
        <v>710.42753623188401</v>
      </c>
      <c r="N1407" s="11">
        <v>2718.3101207729464</v>
      </c>
      <c r="O1407" s="13">
        <v>2024</v>
      </c>
    </row>
    <row r="1408" spans="1:15" ht="14.5" customHeight="1" x14ac:dyDescent="0.35">
      <c r="A1408" s="20" t="s">
        <v>2810</v>
      </c>
      <c r="B1408" s="2" t="s">
        <v>2811</v>
      </c>
      <c r="C1408" s="17" t="s">
        <v>3109</v>
      </c>
      <c r="D1408" s="2" t="s">
        <v>73</v>
      </c>
      <c r="E1408" s="15" t="s">
        <v>169</v>
      </c>
      <c r="F1408" t="s">
        <v>170</v>
      </c>
      <c r="G1408" s="2" t="str">
        <f t="shared" si="22"/>
        <v>Medium</v>
      </c>
      <c r="H1408" s="3">
        <v>2195</v>
      </c>
      <c r="I1408" s="4">
        <v>1.8</v>
      </c>
      <c r="J1408" s="5">
        <v>66013.053302961271</v>
      </c>
      <c r="K1408" s="6">
        <v>3.5044316354302593E-3</v>
      </c>
      <c r="L1408" s="5">
        <v>459.97665603644646</v>
      </c>
      <c r="M1408" s="5">
        <v>801.8223234624146</v>
      </c>
      <c r="N1408" s="11">
        <v>2432.1809339407746</v>
      </c>
      <c r="O1408" s="13">
        <v>2024</v>
      </c>
    </row>
    <row r="1409" spans="1:15" ht="14.5" customHeight="1" x14ac:dyDescent="0.35">
      <c r="A1409" s="20" t="s">
        <v>2812</v>
      </c>
      <c r="B1409" s="2" t="s">
        <v>2813</v>
      </c>
      <c r="C1409" s="17" t="s">
        <v>3109</v>
      </c>
      <c r="D1409" s="2" t="s">
        <v>15</v>
      </c>
      <c r="E1409" s="15" t="s">
        <v>178</v>
      </c>
      <c r="F1409" t="s">
        <v>170</v>
      </c>
      <c r="G1409" s="2" t="str">
        <f t="shared" si="22"/>
        <v>Small</v>
      </c>
      <c r="H1409" s="3">
        <v>651</v>
      </c>
      <c r="I1409" s="4">
        <v>0.6</v>
      </c>
      <c r="J1409" s="5">
        <v>50619.268817204298</v>
      </c>
      <c r="K1409" s="6">
        <v>7.1249043793818285E-3</v>
      </c>
      <c r="L1409" s="5">
        <v>491.31674347158219</v>
      </c>
      <c r="M1409" s="5">
        <v>4642</v>
      </c>
      <c r="N1409" s="11">
        <v>2081.1751152073734</v>
      </c>
      <c r="O1409" s="13">
        <v>2024</v>
      </c>
    </row>
    <row r="1410" spans="1:15" ht="14.5" customHeight="1" x14ac:dyDescent="0.35">
      <c r="A1410" s="20" t="s">
        <v>2814</v>
      </c>
      <c r="B1410" s="2" t="s">
        <v>2815</v>
      </c>
      <c r="C1410" s="17" t="s">
        <v>3109</v>
      </c>
      <c r="D1410" s="2" t="s">
        <v>30</v>
      </c>
      <c r="E1410" s="15" t="s">
        <v>273</v>
      </c>
      <c r="F1410" t="s">
        <v>208</v>
      </c>
      <c r="G1410" s="2" t="str">
        <f t="shared" si="22"/>
        <v>Small</v>
      </c>
      <c r="H1410" s="3">
        <v>978</v>
      </c>
      <c r="I1410" s="4">
        <v>0.2</v>
      </c>
      <c r="J1410" s="5">
        <v>442245.25664621679</v>
      </c>
      <c r="K1410" s="6">
        <v>3.8648178037567968E-3</v>
      </c>
      <c r="L1410" s="5">
        <v>1780.7484662576687</v>
      </c>
      <c r="M1410" s="5">
        <v>0</v>
      </c>
      <c r="N1410" s="11">
        <v>1692.4222903885482</v>
      </c>
      <c r="O1410" s="13">
        <v>2024</v>
      </c>
    </row>
    <row r="1411" spans="1:15" ht="14.5" customHeight="1" x14ac:dyDescent="0.35">
      <c r="A1411" s="20" t="s">
        <v>2816</v>
      </c>
      <c r="B1411" s="2" t="s">
        <v>2817</v>
      </c>
      <c r="C1411" s="17" t="s">
        <v>3109</v>
      </c>
      <c r="D1411" s="2" t="s">
        <v>55</v>
      </c>
      <c r="E1411" s="15" t="s">
        <v>207</v>
      </c>
      <c r="F1411" t="s">
        <v>208</v>
      </c>
      <c r="G1411" s="2" t="str">
        <f t="shared" si="22"/>
        <v>Medium</v>
      </c>
      <c r="H1411" s="3">
        <v>10047</v>
      </c>
      <c r="I1411" s="4">
        <v>3.4</v>
      </c>
      <c r="J1411" s="5">
        <v>325378.88056136161</v>
      </c>
      <c r="K1411" s="6">
        <v>5.7225750882469624E-3</v>
      </c>
      <c r="L1411" s="5">
        <v>2186.5853488603561</v>
      </c>
      <c r="M1411" s="5">
        <v>1411.4389369961182</v>
      </c>
      <c r="N1411" s="11">
        <v>2672.7951627351449</v>
      </c>
      <c r="O1411" s="13">
        <v>2024</v>
      </c>
    </row>
    <row r="1412" spans="1:15" ht="14.5" customHeight="1" x14ac:dyDescent="0.35">
      <c r="A1412" s="20" t="s">
        <v>2818</v>
      </c>
      <c r="B1412" s="2" t="s">
        <v>2819</v>
      </c>
      <c r="C1412" s="17" t="s">
        <v>3109</v>
      </c>
      <c r="D1412" s="2" t="s">
        <v>94</v>
      </c>
      <c r="E1412" s="15" t="s">
        <v>169</v>
      </c>
      <c r="F1412" t="s">
        <v>170</v>
      </c>
      <c r="G1412" s="2" t="str">
        <f t="shared" si="22"/>
        <v>Medium</v>
      </c>
      <c r="H1412" s="3">
        <v>1351</v>
      </c>
      <c r="I1412" s="4">
        <v>2.2000000000000002</v>
      </c>
      <c r="J1412" s="5">
        <v>125227.92894152479</v>
      </c>
      <c r="K1412" s="6" t="s">
        <v>27</v>
      </c>
      <c r="L1412" s="5">
        <v>0</v>
      </c>
      <c r="M1412" s="5">
        <v>0</v>
      </c>
      <c r="N1412" s="11">
        <v>0</v>
      </c>
      <c r="O1412" s="13">
        <v>2024</v>
      </c>
    </row>
    <row r="1413" spans="1:15" ht="14.5" customHeight="1" x14ac:dyDescent="0.35">
      <c r="A1413" s="20" t="s">
        <v>2820</v>
      </c>
      <c r="B1413" s="2" t="s">
        <v>2821</v>
      </c>
      <c r="C1413" s="17" t="s">
        <v>3109</v>
      </c>
      <c r="D1413" s="2" t="s">
        <v>30</v>
      </c>
      <c r="E1413" s="15" t="s">
        <v>273</v>
      </c>
      <c r="F1413" t="s">
        <v>208</v>
      </c>
      <c r="G1413" s="2" t="str">
        <f t="shared" si="22"/>
        <v>Small</v>
      </c>
      <c r="H1413" s="3">
        <v>989</v>
      </c>
      <c r="I1413" s="4">
        <v>0.3</v>
      </c>
      <c r="J1413" s="5">
        <v>661471.9292214358</v>
      </c>
      <c r="K1413" s="6">
        <v>1.8106843734894526E-3</v>
      </c>
      <c r="L1413" s="5">
        <v>1206.540950455005</v>
      </c>
      <c r="M1413" s="5">
        <v>0</v>
      </c>
      <c r="N1413" s="11">
        <v>1137.4883720930231</v>
      </c>
      <c r="O1413" s="13">
        <v>2024</v>
      </c>
    </row>
    <row r="1414" spans="1:15" ht="14.5" customHeight="1" x14ac:dyDescent="0.35">
      <c r="A1414" s="20" t="s">
        <v>2822</v>
      </c>
      <c r="B1414" s="2" t="s">
        <v>2823</v>
      </c>
      <c r="C1414" s="17" t="s">
        <v>3109</v>
      </c>
      <c r="D1414" s="2" t="s">
        <v>272</v>
      </c>
      <c r="E1414" s="15" t="s">
        <v>273</v>
      </c>
      <c r="F1414" t="s">
        <v>208</v>
      </c>
      <c r="G1414" s="2" t="str">
        <f t="shared" si="22"/>
        <v>Medium</v>
      </c>
      <c r="H1414" s="3">
        <v>2772</v>
      </c>
      <c r="I1414" s="4">
        <v>1.8</v>
      </c>
      <c r="J1414" s="5">
        <v>1327327.9148629149</v>
      </c>
      <c r="K1414" s="6">
        <v>2.3576802897557277E-3</v>
      </c>
      <c r="L1414" s="5">
        <v>3275.1598124098123</v>
      </c>
      <c r="M1414" s="5">
        <v>1344.455266955267</v>
      </c>
      <c r="N1414" s="11">
        <v>6307.628787878788</v>
      </c>
      <c r="O1414" s="13">
        <v>2024</v>
      </c>
    </row>
    <row r="1415" spans="1:15" ht="14.5" customHeight="1" x14ac:dyDescent="0.35">
      <c r="A1415" s="20" t="s">
        <v>2824</v>
      </c>
      <c r="B1415" s="2" t="s">
        <v>2825</v>
      </c>
      <c r="C1415" s="17" t="s">
        <v>3109</v>
      </c>
      <c r="D1415" s="2" t="s">
        <v>272</v>
      </c>
      <c r="E1415" s="15" t="s">
        <v>273</v>
      </c>
      <c r="F1415" t="s">
        <v>208</v>
      </c>
      <c r="G1415" s="2" t="str">
        <f t="shared" si="22"/>
        <v>Small</v>
      </c>
      <c r="H1415" s="3">
        <v>770</v>
      </c>
      <c r="I1415" s="4">
        <v>4.4000000000000004</v>
      </c>
      <c r="J1415" s="5">
        <v>10378393.227272727</v>
      </c>
      <c r="K1415" s="6">
        <v>4.9981712849994218E-5</v>
      </c>
      <c r="L1415" s="5">
        <v>608.42467532467538</v>
      </c>
      <c r="M1415" s="5">
        <v>563.98961038961033</v>
      </c>
      <c r="N1415" s="11">
        <v>1924.2064935064934</v>
      </c>
      <c r="O1415" s="13">
        <v>2024</v>
      </c>
    </row>
    <row r="1416" spans="1:15" ht="14.5" customHeight="1" x14ac:dyDescent="0.35">
      <c r="A1416" s="20" t="s">
        <v>2826</v>
      </c>
      <c r="B1416" s="2" t="s">
        <v>2827</v>
      </c>
      <c r="C1416" s="17" t="s">
        <v>3109</v>
      </c>
      <c r="D1416" s="2" t="s">
        <v>272</v>
      </c>
      <c r="E1416" s="15" t="s">
        <v>273</v>
      </c>
      <c r="F1416" t="s">
        <v>208</v>
      </c>
      <c r="G1416" s="2" t="str">
        <f t="shared" si="22"/>
        <v>Small</v>
      </c>
      <c r="H1416" s="3">
        <v>113</v>
      </c>
      <c r="I1416" s="4">
        <v>0.2</v>
      </c>
      <c r="J1416" s="5">
        <v>5096645.0265486725</v>
      </c>
      <c r="K1416" s="6">
        <v>4.704357936050411E-3</v>
      </c>
      <c r="L1416" s="5">
        <v>27522.592920353982</v>
      </c>
      <c r="M1416" s="5">
        <v>73761.061946902657</v>
      </c>
      <c r="N1416" s="11">
        <v>61449.389380530971</v>
      </c>
      <c r="O1416" s="13">
        <v>2024</v>
      </c>
    </row>
    <row r="1417" spans="1:15" ht="14.5" customHeight="1" x14ac:dyDescent="0.35">
      <c r="A1417" s="20" t="s">
        <v>2828</v>
      </c>
      <c r="B1417" s="2" t="s">
        <v>2829</v>
      </c>
      <c r="C1417" s="17" t="s">
        <v>3109</v>
      </c>
      <c r="D1417" s="2" t="s">
        <v>30</v>
      </c>
      <c r="E1417" s="15" t="s">
        <v>273</v>
      </c>
      <c r="F1417" t="s">
        <v>208</v>
      </c>
      <c r="G1417" s="2" t="str">
        <f t="shared" si="22"/>
        <v>Medium</v>
      </c>
      <c r="H1417" s="3">
        <v>2712</v>
      </c>
      <c r="I1417" s="4">
        <v>4.2</v>
      </c>
      <c r="J1417" s="5">
        <v>578742.62536873156</v>
      </c>
      <c r="K1417" s="6">
        <v>6.533245006530534E-3</v>
      </c>
      <c r="L1417" s="5">
        <v>4078.2661873156344</v>
      </c>
      <c r="M1417" s="5">
        <v>8222.7105457227135</v>
      </c>
      <c r="N1417" s="11">
        <v>9974.031113569321</v>
      </c>
      <c r="O1417" s="13">
        <v>2024</v>
      </c>
    </row>
    <row r="1418" spans="1:15" ht="14.5" customHeight="1" x14ac:dyDescent="0.35">
      <c r="A1418" s="20" t="s">
        <v>2830</v>
      </c>
      <c r="B1418" s="2" t="s">
        <v>2831</v>
      </c>
      <c r="C1418" s="17" t="s">
        <v>3109</v>
      </c>
      <c r="D1418" s="2" t="s">
        <v>26</v>
      </c>
      <c r="E1418" s="15" t="s">
        <v>183</v>
      </c>
      <c r="F1418" t="s">
        <v>170</v>
      </c>
      <c r="G1418" s="2" t="str">
        <f t="shared" si="22"/>
        <v>Small</v>
      </c>
      <c r="H1418" s="3">
        <v>646</v>
      </c>
      <c r="I1418" s="4">
        <v>1.4</v>
      </c>
      <c r="J1418" s="5">
        <v>42420.693498452012</v>
      </c>
      <c r="K1418" s="6">
        <v>4.2118259065687608E-3</v>
      </c>
      <c r="L1418" s="5">
        <v>301.5594891640867</v>
      </c>
      <c r="M1418" s="5">
        <v>4496.7794117647063</v>
      </c>
      <c r="N1418" s="11">
        <v>930.99049535603717</v>
      </c>
      <c r="O1418" s="13">
        <v>2024</v>
      </c>
    </row>
    <row r="1419" spans="1:15" ht="14.5" customHeight="1" x14ac:dyDescent="0.35">
      <c r="A1419" s="20" t="s">
        <v>2832</v>
      </c>
      <c r="B1419" s="2" t="s">
        <v>2833</v>
      </c>
      <c r="C1419" s="17" t="s">
        <v>3109</v>
      </c>
      <c r="D1419" s="2" t="s">
        <v>282</v>
      </c>
      <c r="E1419" s="15" t="s">
        <v>169</v>
      </c>
      <c r="F1419" t="s">
        <v>170</v>
      </c>
      <c r="G1419" s="2" t="str">
        <f t="shared" si="22"/>
        <v>Medium</v>
      </c>
      <c r="H1419" s="3">
        <v>4887</v>
      </c>
      <c r="I1419" s="4">
        <v>2.8</v>
      </c>
      <c r="J1419" s="5">
        <v>78389.953959484352</v>
      </c>
      <c r="K1419" s="6">
        <v>1.1314256987109653E-2</v>
      </c>
      <c r="L1419" s="5">
        <v>946.14078166564354</v>
      </c>
      <c r="M1419" s="5">
        <v>4144.5140167792106</v>
      </c>
      <c r="N1419" s="11">
        <v>2997.7843257622262</v>
      </c>
      <c r="O1419" s="13">
        <v>2024</v>
      </c>
    </row>
    <row r="1420" spans="1:15" ht="14.5" customHeight="1" x14ac:dyDescent="0.35">
      <c r="A1420" s="20" t="s">
        <v>2834</v>
      </c>
      <c r="B1420" s="2" t="s">
        <v>2835</v>
      </c>
      <c r="C1420" s="17" t="s">
        <v>3109</v>
      </c>
      <c r="D1420" s="2" t="s">
        <v>43</v>
      </c>
      <c r="E1420" s="15" t="s">
        <v>207</v>
      </c>
      <c r="F1420" t="s">
        <v>208</v>
      </c>
      <c r="G1420" s="2" t="str">
        <f t="shared" si="22"/>
        <v>Medium</v>
      </c>
      <c r="H1420" s="3">
        <v>3899</v>
      </c>
      <c r="I1420" s="4">
        <v>1.8</v>
      </c>
      <c r="J1420" s="5">
        <v>102430.37394203641</v>
      </c>
      <c r="K1420" s="6">
        <v>4.9044643711064206E-3</v>
      </c>
      <c r="L1420" s="5">
        <v>548.61662477558355</v>
      </c>
      <c r="M1420" s="5">
        <v>2235.2115927160812</v>
      </c>
      <c r="N1420" s="11">
        <v>1538.312185175686</v>
      </c>
      <c r="O1420" s="13">
        <v>2024</v>
      </c>
    </row>
    <row r="1421" spans="1:15" ht="14.5" customHeight="1" x14ac:dyDescent="0.35">
      <c r="A1421" s="20" t="s">
        <v>2836</v>
      </c>
      <c r="B1421" s="2" t="s">
        <v>2837</v>
      </c>
      <c r="C1421" s="17" t="s">
        <v>3109</v>
      </c>
      <c r="D1421" s="2" t="s">
        <v>18</v>
      </c>
      <c r="E1421" s="15" t="s">
        <v>173</v>
      </c>
      <c r="F1421" t="s">
        <v>170</v>
      </c>
      <c r="G1421" s="2" t="str">
        <f t="shared" si="22"/>
        <v>Small</v>
      </c>
      <c r="H1421" s="3">
        <v>672</v>
      </c>
      <c r="I1421" s="4">
        <v>1</v>
      </c>
      <c r="J1421" s="5" t="s">
        <v>27</v>
      </c>
      <c r="K1421" s="6" t="s">
        <v>27</v>
      </c>
      <c r="L1421" s="5">
        <v>0</v>
      </c>
      <c r="M1421" s="5">
        <v>0</v>
      </c>
      <c r="N1421" s="11">
        <v>0</v>
      </c>
      <c r="O1421" s="13">
        <v>2024</v>
      </c>
    </row>
    <row r="1422" spans="1:15" ht="14.5" customHeight="1" x14ac:dyDescent="0.35">
      <c r="A1422" s="20" t="s">
        <v>2838</v>
      </c>
      <c r="B1422" s="2" t="s">
        <v>2839</v>
      </c>
      <c r="C1422" s="17" t="s">
        <v>3109</v>
      </c>
      <c r="D1422" s="2" t="s">
        <v>55</v>
      </c>
      <c r="E1422" s="15" t="s">
        <v>207</v>
      </c>
      <c r="F1422" t="s">
        <v>208</v>
      </c>
      <c r="G1422" s="2" t="str">
        <f t="shared" si="22"/>
        <v>Large</v>
      </c>
      <c r="H1422" s="3">
        <v>18253</v>
      </c>
      <c r="I1422" s="4">
        <v>6.7</v>
      </c>
      <c r="J1422" s="5">
        <v>569939.4788253986</v>
      </c>
      <c r="K1422" s="6">
        <v>4.909974232946597E-3</v>
      </c>
      <c r="L1422" s="5">
        <v>3231.6354571851202</v>
      </c>
      <c r="M1422" s="5">
        <v>997.0963677203747</v>
      </c>
      <c r="N1422" s="11">
        <v>4947.1447981153779</v>
      </c>
      <c r="O1422" s="13">
        <v>2024</v>
      </c>
    </row>
    <row r="1423" spans="1:15" ht="14.5" customHeight="1" x14ac:dyDescent="0.35">
      <c r="A1423" s="20" t="s">
        <v>2840</v>
      </c>
      <c r="B1423" s="2" t="s">
        <v>2841</v>
      </c>
      <c r="C1423" s="17" t="s">
        <v>3109</v>
      </c>
      <c r="D1423" s="2" t="s">
        <v>77</v>
      </c>
      <c r="E1423" s="15" t="s">
        <v>217</v>
      </c>
      <c r="F1423" t="s">
        <v>170</v>
      </c>
      <c r="G1423" s="2" t="str">
        <f t="shared" si="22"/>
        <v>Small</v>
      </c>
      <c r="H1423" s="3">
        <v>527</v>
      </c>
      <c r="I1423" s="4">
        <v>0.8</v>
      </c>
      <c r="J1423" s="5">
        <v>90107.918406072102</v>
      </c>
      <c r="K1423" s="6">
        <v>3.4535516794293869E-3</v>
      </c>
      <c r="L1423" s="5">
        <v>757.95305502846304</v>
      </c>
      <c r="M1423" s="5">
        <v>8065.2903225806449</v>
      </c>
      <c r="N1423" s="11">
        <v>882.61242884250476</v>
      </c>
      <c r="O1423" s="13">
        <v>2024</v>
      </c>
    </row>
    <row r="1424" spans="1:15" ht="14.5" customHeight="1" x14ac:dyDescent="0.35">
      <c r="A1424" s="20" t="s">
        <v>2842</v>
      </c>
      <c r="B1424" s="2" t="s">
        <v>2843</v>
      </c>
      <c r="C1424" s="17" t="s">
        <v>3109</v>
      </c>
      <c r="D1424" s="2" t="s">
        <v>338</v>
      </c>
      <c r="E1424" s="15" t="s">
        <v>214</v>
      </c>
      <c r="F1424" t="s">
        <v>170</v>
      </c>
      <c r="G1424" s="2" t="str">
        <f t="shared" si="22"/>
        <v>Small</v>
      </c>
      <c r="H1424" s="3">
        <v>916</v>
      </c>
      <c r="I1424" s="4">
        <v>1.7</v>
      </c>
      <c r="J1424" s="5">
        <v>71115.039627456528</v>
      </c>
      <c r="K1424" s="6">
        <v>4.5783281985358063E-3</v>
      </c>
      <c r="L1424" s="5">
        <v>479.77813318777288</v>
      </c>
      <c r="M1424" s="5">
        <v>2456.8777292576419</v>
      </c>
      <c r="N1424" s="11">
        <v>2726.7236790393013</v>
      </c>
      <c r="O1424" s="13">
        <v>2024</v>
      </c>
    </row>
    <row r="1425" spans="1:15" ht="14.5" customHeight="1" x14ac:dyDescent="0.35">
      <c r="A1425" s="20" t="s">
        <v>2844</v>
      </c>
      <c r="B1425" s="2" t="s">
        <v>2845</v>
      </c>
      <c r="C1425" s="17" t="s">
        <v>3109</v>
      </c>
      <c r="D1425" s="2" t="s">
        <v>51</v>
      </c>
      <c r="E1425" s="15" t="s">
        <v>217</v>
      </c>
      <c r="F1425" t="s">
        <v>170</v>
      </c>
      <c r="G1425" s="2" t="str">
        <f t="shared" si="22"/>
        <v>Medium</v>
      </c>
      <c r="H1425" s="3">
        <v>1370</v>
      </c>
      <c r="I1425" s="4">
        <v>0.5</v>
      </c>
      <c r="J1425" s="5">
        <v>74407.689051094887</v>
      </c>
      <c r="K1425" s="6">
        <v>5.6796454420268592E-3</v>
      </c>
      <c r="L1425" s="5">
        <v>665.98414598540148</v>
      </c>
      <c r="M1425" s="5">
        <v>6263.4041094890517</v>
      </c>
      <c r="N1425" s="11">
        <v>1526.6923576642337</v>
      </c>
      <c r="O1425" s="13">
        <v>2024</v>
      </c>
    </row>
    <row r="1426" spans="1:15" ht="14.5" customHeight="1" x14ac:dyDescent="0.35">
      <c r="A1426" s="20" t="s">
        <v>2846</v>
      </c>
      <c r="B1426" s="2" t="s">
        <v>2847</v>
      </c>
      <c r="C1426" s="17" t="s">
        <v>3109</v>
      </c>
      <c r="D1426" s="2" t="s">
        <v>86</v>
      </c>
      <c r="E1426" s="15" t="s">
        <v>217</v>
      </c>
      <c r="F1426" t="s">
        <v>170</v>
      </c>
      <c r="G1426" s="2" t="str">
        <f t="shared" si="22"/>
        <v>Medium</v>
      </c>
      <c r="H1426" s="3">
        <v>7272</v>
      </c>
      <c r="I1426" s="4">
        <v>1.7</v>
      </c>
      <c r="J1426" s="5">
        <v>69905.564218921892</v>
      </c>
      <c r="K1426" s="6">
        <v>1.1327105025388615E-2</v>
      </c>
      <c r="L1426" s="5">
        <v>945.72315869086901</v>
      </c>
      <c r="M1426" s="5">
        <v>1729.5109983498351</v>
      </c>
      <c r="N1426" s="11">
        <v>2631.6082054455446</v>
      </c>
      <c r="O1426" s="13">
        <v>2024</v>
      </c>
    </row>
    <row r="1427" spans="1:15" ht="14.5" customHeight="1" x14ac:dyDescent="0.35">
      <c r="A1427" s="20" t="s">
        <v>2848</v>
      </c>
      <c r="B1427" s="2" t="s">
        <v>2849</v>
      </c>
      <c r="C1427" s="17" t="s">
        <v>3109</v>
      </c>
      <c r="D1427" s="2" t="s">
        <v>79</v>
      </c>
      <c r="E1427" s="15" t="s">
        <v>178</v>
      </c>
      <c r="F1427" t="s">
        <v>170</v>
      </c>
      <c r="G1427" s="2" t="str">
        <f t="shared" si="22"/>
        <v>Medium</v>
      </c>
      <c r="H1427" s="3">
        <v>2009</v>
      </c>
      <c r="I1427" s="4">
        <v>1.1000000000000001</v>
      </c>
      <c r="J1427" s="5">
        <v>62901.237431557987</v>
      </c>
      <c r="K1427" s="6">
        <v>3.8458925226875608E-3</v>
      </c>
      <c r="L1427" s="5">
        <v>649.32934793429558</v>
      </c>
      <c r="M1427" s="5">
        <v>1032.8521652563466</v>
      </c>
      <c r="N1427" s="11">
        <v>1482.025111996018</v>
      </c>
      <c r="O1427" s="13">
        <v>2024</v>
      </c>
    </row>
    <row r="1428" spans="1:15" ht="14.5" customHeight="1" x14ac:dyDescent="0.35">
      <c r="A1428" s="20" t="s">
        <v>2850</v>
      </c>
      <c r="B1428" s="2" t="s">
        <v>2851</v>
      </c>
      <c r="C1428" s="17" t="s">
        <v>3109</v>
      </c>
      <c r="D1428" s="2" t="s">
        <v>30</v>
      </c>
      <c r="E1428" s="15" t="s">
        <v>273</v>
      </c>
      <c r="F1428" t="s">
        <v>208</v>
      </c>
      <c r="G1428" s="2" t="str">
        <f t="shared" si="22"/>
        <v>Medium</v>
      </c>
      <c r="H1428" s="3">
        <v>5062</v>
      </c>
      <c r="I1428" s="4">
        <v>1.1000000000000001</v>
      </c>
      <c r="J1428" s="5">
        <v>350128.98103516398</v>
      </c>
      <c r="K1428" s="6">
        <v>3.4338708691323597E-3</v>
      </c>
      <c r="L1428" s="5">
        <v>1257.8648755432635</v>
      </c>
      <c r="M1428" s="5">
        <v>252.19379691821413</v>
      </c>
      <c r="N1428" s="11">
        <v>1491.144606874753</v>
      </c>
      <c r="O1428" s="13">
        <v>2024</v>
      </c>
    </row>
    <row r="1429" spans="1:15" ht="14.5" customHeight="1" x14ac:dyDescent="0.35">
      <c r="A1429" s="20" t="s">
        <v>2852</v>
      </c>
      <c r="B1429" s="2" t="s">
        <v>2853</v>
      </c>
      <c r="C1429" s="17" t="s">
        <v>3109</v>
      </c>
      <c r="D1429" s="2" t="s">
        <v>338</v>
      </c>
      <c r="E1429" s="15" t="s">
        <v>214</v>
      </c>
      <c r="F1429" t="s">
        <v>170</v>
      </c>
      <c r="G1429" s="2" t="str">
        <f t="shared" si="22"/>
        <v>Small</v>
      </c>
      <c r="H1429" s="3">
        <v>483</v>
      </c>
      <c r="I1429" s="4">
        <v>1.8</v>
      </c>
      <c r="J1429" s="5">
        <v>69574.277432712217</v>
      </c>
      <c r="K1429" s="6">
        <v>4.643596119743452E-3</v>
      </c>
      <c r="L1429" s="5">
        <v>1194.8935403726707</v>
      </c>
      <c r="M1429" s="5">
        <v>6828.1923809523805</v>
      </c>
      <c r="N1429" s="11">
        <v>8157.73049689441</v>
      </c>
      <c r="O1429" s="13">
        <v>2024</v>
      </c>
    </row>
    <row r="1430" spans="1:15" ht="14.5" customHeight="1" x14ac:dyDescent="0.35">
      <c r="A1430" s="20" t="s">
        <v>2854</v>
      </c>
      <c r="B1430" s="2" t="s">
        <v>2855</v>
      </c>
      <c r="C1430" s="17" t="s">
        <v>3109</v>
      </c>
      <c r="D1430" s="2" t="s">
        <v>61</v>
      </c>
      <c r="E1430" s="15" t="s">
        <v>173</v>
      </c>
      <c r="F1430" t="s">
        <v>170</v>
      </c>
      <c r="G1430" s="2" t="str">
        <f t="shared" si="22"/>
        <v>Medium</v>
      </c>
      <c r="H1430" s="3">
        <v>1360</v>
      </c>
      <c r="I1430" s="4">
        <v>1.5</v>
      </c>
      <c r="J1430" s="5">
        <v>57554.947058823527</v>
      </c>
      <c r="K1430" s="6">
        <v>5.3700090787923279E-3</v>
      </c>
      <c r="L1430" s="5">
        <v>491.35220588235296</v>
      </c>
      <c r="M1430" s="5">
        <v>1700.2874999999999</v>
      </c>
      <c r="N1430" s="11">
        <v>4715.3161764705883</v>
      </c>
      <c r="O1430" s="13">
        <v>2024</v>
      </c>
    </row>
    <row r="1431" spans="1:15" ht="14.5" customHeight="1" x14ac:dyDescent="0.35">
      <c r="A1431" s="20" t="s">
        <v>2856</v>
      </c>
      <c r="B1431" s="2" t="s">
        <v>2857</v>
      </c>
      <c r="C1431" s="17" t="s">
        <v>3109</v>
      </c>
      <c r="D1431" s="2" t="s">
        <v>22</v>
      </c>
      <c r="E1431" s="15" t="s">
        <v>186</v>
      </c>
      <c r="F1431" t="s">
        <v>170</v>
      </c>
      <c r="G1431" s="2" t="str">
        <f t="shared" si="22"/>
        <v>Small</v>
      </c>
      <c r="H1431" s="3">
        <v>649</v>
      </c>
      <c r="I1431" s="4">
        <v>0.9</v>
      </c>
      <c r="J1431" s="5">
        <v>34224.214175654852</v>
      </c>
      <c r="K1431" s="6">
        <v>1.0191339492150807E-2</v>
      </c>
      <c r="L1431" s="5">
        <v>530.58597842835127</v>
      </c>
      <c r="M1431" s="5">
        <v>7663.8428351309703</v>
      </c>
      <c r="N1431" s="11">
        <v>5458.5934514637902</v>
      </c>
      <c r="O1431" s="13">
        <v>2024</v>
      </c>
    </row>
    <row r="1432" spans="1:15" ht="14.5" customHeight="1" x14ac:dyDescent="0.35">
      <c r="A1432" s="20" t="s">
        <v>2858</v>
      </c>
      <c r="B1432" s="2" t="s">
        <v>2859</v>
      </c>
      <c r="C1432" s="17" t="s">
        <v>3109</v>
      </c>
      <c r="D1432" s="2" t="s">
        <v>272</v>
      </c>
      <c r="E1432" s="15" t="s">
        <v>273</v>
      </c>
      <c r="F1432" t="s">
        <v>208</v>
      </c>
      <c r="G1432" s="2" t="str">
        <f t="shared" si="22"/>
        <v>Small</v>
      </c>
      <c r="H1432" s="3">
        <v>561</v>
      </c>
      <c r="I1432" s="4">
        <v>0.5</v>
      </c>
      <c r="J1432" s="5">
        <v>266396.752228164</v>
      </c>
      <c r="K1432" s="6">
        <v>5.1285733879649223E-3</v>
      </c>
      <c r="L1432" s="5">
        <v>1386.7664884135472</v>
      </c>
      <c r="M1432" s="5">
        <v>1568.6274509803923</v>
      </c>
      <c r="N1432" s="11">
        <v>1635.9180035650625</v>
      </c>
      <c r="O1432" s="13">
        <v>2024</v>
      </c>
    </row>
    <row r="1433" spans="1:15" ht="14.5" customHeight="1" x14ac:dyDescent="0.35">
      <c r="A1433" s="20" t="s">
        <v>2860</v>
      </c>
      <c r="B1433" s="2" t="s">
        <v>2861</v>
      </c>
      <c r="C1433" s="17" t="s">
        <v>3109</v>
      </c>
      <c r="D1433" s="2" t="s">
        <v>15</v>
      </c>
      <c r="E1433" s="15" t="s">
        <v>178</v>
      </c>
      <c r="F1433" t="s">
        <v>170</v>
      </c>
      <c r="G1433" s="2" t="str">
        <f t="shared" si="22"/>
        <v>Medium</v>
      </c>
      <c r="H1433" s="3">
        <v>1400</v>
      </c>
      <c r="I1433" s="4">
        <v>0.7</v>
      </c>
      <c r="J1433" s="5">
        <v>46258.587142857141</v>
      </c>
      <c r="K1433" s="6">
        <v>7.784099143785226E-3</v>
      </c>
      <c r="L1433" s="5">
        <v>678.23</v>
      </c>
      <c r="M1433" s="5">
        <v>200</v>
      </c>
      <c r="N1433" s="11">
        <v>981.08428571428567</v>
      </c>
      <c r="O1433" s="13">
        <v>2024</v>
      </c>
    </row>
    <row r="1434" spans="1:15" ht="14.5" customHeight="1" x14ac:dyDescent="0.35">
      <c r="A1434" s="20" t="s">
        <v>2862</v>
      </c>
      <c r="B1434" s="2" t="s">
        <v>2863</v>
      </c>
      <c r="C1434" s="17" t="s">
        <v>3109</v>
      </c>
      <c r="D1434" s="2" t="s">
        <v>220</v>
      </c>
      <c r="E1434" s="15" t="s">
        <v>173</v>
      </c>
      <c r="F1434" t="s">
        <v>170</v>
      </c>
      <c r="G1434" s="2" t="str">
        <f t="shared" si="22"/>
        <v>Medium</v>
      </c>
      <c r="H1434" s="3">
        <v>3697</v>
      </c>
      <c r="I1434" s="4">
        <v>2.4</v>
      </c>
      <c r="J1434" s="5">
        <v>50484.497971328106</v>
      </c>
      <c r="K1434" s="6">
        <v>1.3278842753193132E-2</v>
      </c>
      <c r="L1434" s="5">
        <v>743.70408439275093</v>
      </c>
      <c r="M1434" s="5">
        <v>945.47092236948879</v>
      </c>
      <c r="N1434" s="11">
        <v>1900.622126048147</v>
      </c>
      <c r="O1434" s="13">
        <v>2024</v>
      </c>
    </row>
    <row r="1435" spans="1:15" ht="14.5" customHeight="1" x14ac:dyDescent="0.35">
      <c r="A1435" s="20" t="s">
        <v>2864</v>
      </c>
      <c r="B1435" s="2" t="s">
        <v>2865</v>
      </c>
      <c r="C1435" s="17" t="s">
        <v>3109</v>
      </c>
      <c r="D1435" s="2" t="s">
        <v>22</v>
      </c>
      <c r="E1435" s="15" t="s">
        <v>186</v>
      </c>
      <c r="F1435" t="s">
        <v>170</v>
      </c>
      <c r="G1435" s="2" t="str">
        <f t="shared" si="22"/>
        <v>Medium</v>
      </c>
      <c r="H1435" s="3">
        <v>2617</v>
      </c>
      <c r="I1435" s="4">
        <v>1.2</v>
      </c>
      <c r="J1435" s="5">
        <v>44612.252197172333</v>
      </c>
      <c r="K1435" s="6">
        <v>8.8859327975481066E-3</v>
      </c>
      <c r="L1435" s="5">
        <v>698.41612533435227</v>
      </c>
      <c r="M1435" s="5">
        <v>4471.1886014520442</v>
      </c>
      <c r="N1435" s="11">
        <v>1929.5215896064196</v>
      </c>
      <c r="O1435" s="13">
        <v>2024</v>
      </c>
    </row>
    <row r="1436" spans="1:15" ht="14.5" customHeight="1" x14ac:dyDescent="0.35">
      <c r="A1436" s="20" t="s">
        <v>2866</v>
      </c>
      <c r="B1436" s="2" t="s">
        <v>2867</v>
      </c>
      <c r="C1436" s="17" t="s">
        <v>3109</v>
      </c>
      <c r="D1436" s="2" t="s">
        <v>231</v>
      </c>
      <c r="E1436" s="15" t="s">
        <v>178</v>
      </c>
      <c r="F1436" t="s">
        <v>170</v>
      </c>
      <c r="G1436" s="2" t="str">
        <f t="shared" si="22"/>
        <v>Small</v>
      </c>
      <c r="H1436" s="3">
        <v>689</v>
      </c>
      <c r="I1436" s="4">
        <v>1</v>
      </c>
      <c r="J1436" s="5">
        <v>39510.837445573292</v>
      </c>
      <c r="K1436" s="6" t="s">
        <v>27</v>
      </c>
      <c r="L1436" s="5">
        <v>0</v>
      </c>
      <c r="M1436" s="5">
        <v>0</v>
      </c>
      <c r="N1436" s="11">
        <v>0</v>
      </c>
      <c r="O1436" s="13">
        <v>2024</v>
      </c>
    </row>
    <row r="1437" spans="1:15" ht="14.5" customHeight="1" x14ac:dyDescent="0.35">
      <c r="A1437" s="20" t="s">
        <v>2868</v>
      </c>
      <c r="B1437" s="2" t="s">
        <v>2869</v>
      </c>
      <c r="C1437" s="17" t="s">
        <v>3109</v>
      </c>
      <c r="D1437" s="2" t="s">
        <v>22</v>
      </c>
      <c r="E1437" s="15" t="s">
        <v>186</v>
      </c>
      <c r="F1437" t="s">
        <v>170</v>
      </c>
      <c r="G1437" s="2" t="str">
        <f t="shared" si="22"/>
        <v>Small</v>
      </c>
      <c r="H1437" s="3">
        <v>579</v>
      </c>
      <c r="I1437" s="4">
        <v>1.6</v>
      </c>
      <c r="J1437" s="5">
        <v>37461.616580310882</v>
      </c>
      <c r="K1437" s="6">
        <v>7.3891636971332225E-3</v>
      </c>
      <c r="L1437" s="5">
        <v>464.03108808290153</v>
      </c>
      <c r="M1437" s="5">
        <v>4677.6269430051816</v>
      </c>
      <c r="N1437" s="11">
        <v>808.13298791018997</v>
      </c>
      <c r="O1437" s="13">
        <v>2024</v>
      </c>
    </row>
    <row r="1438" spans="1:15" ht="14.5" customHeight="1" x14ac:dyDescent="0.35">
      <c r="A1438" s="20" t="s">
        <v>2870</v>
      </c>
      <c r="B1438" s="2" t="s">
        <v>2871</v>
      </c>
      <c r="C1438" s="17" t="s">
        <v>3109</v>
      </c>
      <c r="D1438" s="2" t="s">
        <v>89</v>
      </c>
      <c r="E1438" s="15" t="s">
        <v>183</v>
      </c>
      <c r="F1438" t="s">
        <v>170</v>
      </c>
      <c r="G1438" s="2" t="str">
        <f t="shared" si="22"/>
        <v>Medium</v>
      </c>
      <c r="H1438" s="3">
        <v>2533</v>
      </c>
      <c r="I1438" s="4">
        <v>1.4</v>
      </c>
      <c r="J1438" s="5">
        <v>277313.8681405448</v>
      </c>
      <c r="K1438" s="6">
        <v>3.1976022163828989E-3</v>
      </c>
      <c r="L1438" s="5">
        <v>914.90604026845642</v>
      </c>
      <c r="M1438" s="5">
        <v>1365.9692064745361</v>
      </c>
      <c r="N1438" s="11">
        <v>3498.3504934859852</v>
      </c>
      <c r="O1438" s="13">
        <v>2024</v>
      </c>
    </row>
    <row r="1439" spans="1:15" ht="14.5" customHeight="1" x14ac:dyDescent="0.35">
      <c r="A1439" s="20" t="s">
        <v>2872</v>
      </c>
      <c r="B1439" s="2" t="s">
        <v>2873</v>
      </c>
      <c r="C1439" s="17" t="s">
        <v>3109</v>
      </c>
      <c r="D1439" s="2" t="s">
        <v>55</v>
      </c>
      <c r="E1439" s="15" t="s">
        <v>207</v>
      </c>
      <c r="F1439" t="s">
        <v>208</v>
      </c>
      <c r="G1439" s="2" t="str">
        <f t="shared" si="22"/>
        <v>Medium</v>
      </c>
      <c r="H1439" s="3">
        <v>9986</v>
      </c>
      <c r="I1439" s="4">
        <v>2.2000000000000002</v>
      </c>
      <c r="J1439" s="5">
        <v>185161.70098137393</v>
      </c>
      <c r="K1439" s="6">
        <v>8.4642820675370229E-3</v>
      </c>
      <c r="L1439" s="5">
        <v>1938.7071900660926</v>
      </c>
      <c r="M1439" s="5">
        <v>3138.5782094932906</v>
      </c>
      <c r="N1439" s="11">
        <v>3709.5098137392351</v>
      </c>
      <c r="O1439" s="13">
        <v>2024</v>
      </c>
    </row>
    <row r="1440" spans="1:15" ht="14.5" customHeight="1" x14ac:dyDescent="0.35">
      <c r="A1440" s="20" t="s">
        <v>2874</v>
      </c>
      <c r="B1440" s="2" t="s">
        <v>2875</v>
      </c>
      <c r="C1440" s="17" t="s">
        <v>3109</v>
      </c>
      <c r="D1440" s="2" t="s">
        <v>13</v>
      </c>
      <c r="E1440" s="15" t="s">
        <v>186</v>
      </c>
      <c r="F1440" t="s">
        <v>170</v>
      </c>
      <c r="G1440" s="2" t="str">
        <f t="shared" si="22"/>
        <v>Medium</v>
      </c>
      <c r="H1440" s="3">
        <v>3775</v>
      </c>
      <c r="I1440" s="4">
        <v>0.8</v>
      </c>
      <c r="J1440" s="5">
        <v>53097.343576158943</v>
      </c>
      <c r="K1440" s="6">
        <v>6.4087135684497039E-3</v>
      </c>
      <c r="L1440" s="5">
        <v>469.63413774834436</v>
      </c>
      <c r="M1440" s="5">
        <v>243.62974304635762</v>
      </c>
      <c r="N1440" s="11">
        <v>662.10709668874176</v>
      </c>
      <c r="O1440" s="13">
        <v>2024</v>
      </c>
    </row>
    <row r="1441" spans="1:15" ht="14.5" customHeight="1" x14ac:dyDescent="0.35">
      <c r="A1441" s="20" t="s">
        <v>2876</v>
      </c>
      <c r="B1441" s="2" t="s">
        <v>2877</v>
      </c>
      <c r="C1441" s="17" t="s">
        <v>3109</v>
      </c>
      <c r="D1441" s="2" t="s">
        <v>513</v>
      </c>
      <c r="E1441" s="15" t="s">
        <v>207</v>
      </c>
      <c r="F1441" t="s">
        <v>208</v>
      </c>
      <c r="G1441" s="2" t="str">
        <f t="shared" si="22"/>
        <v>Medium</v>
      </c>
      <c r="H1441" s="3">
        <v>3036</v>
      </c>
      <c r="I1441" s="4">
        <v>2.5</v>
      </c>
      <c r="J1441" s="5">
        <v>190723.11264822134</v>
      </c>
      <c r="K1441" s="6">
        <v>3.5559140368230011E-3</v>
      </c>
      <c r="L1441" s="5">
        <v>741.41567852437413</v>
      </c>
      <c r="M1441" s="5">
        <v>1180.8300395256917</v>
      </c>
      <c r="N1441" s="11">
        <v>1357.5049407114625</v>
      </c>
      <c r="O1441" s="13">
        <v>2024</v>
      </c>
    </row>
    <row r="1442" spans="1:15" ht="14.5" customHeight="1" x14ac:dyDescent="0.35">
      <c r="A1442" s="20" t="s">
        <v>2878</v>
      </c>
      <c r="B1442" s="2" t="s">
        <v>2879</v>
      </c>
      <c r="C1442" s="17" t="s">
        <v>3109</v>
      </c>
      <c r="D1442" s="2" t="s">
        <v>61</v>
      </c>
      <c r="E1442" s="15" t="s">
        <v>173</v>
      </c>
      <c r="F1442" t="s">
        <v>170</v>
      </c>
      <c r="G1442" s="2" t="str">
        <f t="shared" si="22"/>
        <v>Small</v>
      </c>
      <c r="H1442" s="3">
        <v>197</v>
      </c>
      <c r="I1442" s="4">
        <v>0.2</v>
      </c>
      <c r="J1442" s="5">
        <v>58529.629441624369</v>
      </c>
      <c r="K1442" s="6">
        <v>4.4075901684400036E-3</v>
      </c>
      <c r="L1442" s="5">
        <v>572.41796954314725</v>
      </c>
      <c r="M1442" s="5">
        <v>0</v>
      </c>
      <c r="N1442" s="11">
        <v>925.84492385786803</v>
      </c>
      <c r="O1442" s="13">
        <v>2024</v>
      </c>
    </row>
    <row r="1443" spans="1:15" ht="14.5" customHeight="1" x14ac:dyDescent="0.35">
      <c r="A1443" s="20" t="s">
        <v>2880</v>
      </c>
      <c r="B1443" s="2" t="s">
        <v>2881</v>
      </c>
      <c r="C1443" s="17" t="s">
        <v>3109</v>
      </c>
      <c r="D1443" s="2" t="s">
        <v>234</v>
      </c>
      <c r="E1443" s="15" t="s">
        <v>178</v>
      </c>
      <c r="F1443" t="s">
        <v>170</v>
      </c>
      <c r="G1443" s="2" t="str">
        <f t="shared" si="22"/>
        <v>Medium</v>
      </c>
      <c r="H1443" s="3">
        <v>1667</v>
      </c>
      <c r="I1443" s="4">
        <v>0.9</v>
      </c>
      <c r="J1443" s="5">
        <v>40431.799640071986</v>
      </c>
      <c r="K1443" s="6">
        <v>8.6137208695395429E-3</v>
      </c>
      <c r="L1443" s="5">
        <v>426.07888422315534</v>
      </c>
      <c r="M1443" s="5">
        <v>570.97300539892024</v>
      </c>
      <c r="N1443" s="11">
        <v>1121.754301139772</v>
      </c>
      <c r="O1443" s="13">
        <v>2024</v>
      </c>
    </row>
    <row r="1444" spans="1:15" ht="14.5" customHeight="1" x14ac:dyDescent="0.35">
      <c r="A1444" s="20" t="s">
        <v>2882</v>
      </c>
      <c r="B1444" s="2" t="s">
        <v>2883</v>
      </c>
      <c r="C1444" s="17" t="s">
        <v>3109</v>
      </c>
      <c r="D1444" s="2" t="s">
        <v>234</v>
      </c>
      <c r="E1444" s="15" t="s">
        <v>178</v>
      </c>
      <c r="F1444" t="s">
        <v>170</v>
      </c>
      <c r="G1444" s="2" t="str">
        <f t="shared" si="22"/>
        <v>Small</v>
      </c>
      <c r="H1444" s="3">
        <v>822</v>
      </c>
      <c r="I1444" s="4">
        <v>1.5</v>
      </c>
      <c r="J1444" s="5">
        <v>184053.28223844283</v>
      </c>
      <c r="K1444" s="6">
        <v>3.9658594050154651E-3</v>
      </c>
      <c r="L1444" s="5">
        <v>1072.7019464720195</v>
      </c>
      <c r="M1444" s="5">
        <v>2843.6922141119221</v>
      </c>
      <c r="N1444" s="11">
        <v>3342.3345498783456</v>
      </c>
      <c r="O1444" s="13">
        <v>2024</v>
      </c>
    </row>
    <row r="1445" spans="1:15" ht="14.5" customHeight="1" x14ac:dyDescent="0.35">
      <c r="A1445" s="20" t="s">
        <v>2884</v>
      </c>
      <c r="B1445" s="2" t="s">
        <v>2885</v>
      </c>
      <c r="C1445" s="17" t="s">
        <v>3109</v>
      </c>
      <c r="D1445" s="2" t="s">
        <v>89</v>
      </c>
      <c r="E1445" s="15" t="s">
        <v>183</v>
      </c>
      <c r="F1445" t="s">
        <v>170</v>
      </c>
      <c r="G1445" s="2" t="str">
        <f t="shared" ref="G1445:G1508" si="23">IF(H1445&lt;=1000,"Small",IF(H1445&lt;=11000,"Medium",IF(H1445&gt;=11000,"Large")))</f>
        <v>Medium</v>
      </c>
      <c r="H1445" s="3">
        <v>6645</v>
      </c>
      <c r="I1445" s="4">
        <v>1.7</v>
      </c>
      <c r="J1445" s="5">
        <v>54309.740556809629</v>
      </c>
      <c r="K1445" s="6" t="s">
        <v>27</v>
      </c>
      <c r="L1445" s="5">
        <v>0</v>
      </c>
      <c r="M1445" s="5">
        <v>0</v>
      </c>
      <c r="N1445" s="11">
        <v>0</v>
      </c>
      <c r="O1445" s="13">
        <v>2024</v>
      </c>
    </row>
    <row r="1446" spans="1:15" ht="14.5" customHeight="1" x14ac:dyDescent="0.35">
      <c r="A1446" s="20" t="s">
        <v>2886</v>
      </c>
      <c r="B1446" s="2" t="s">
        <v>2887</v>
      </c>
      <c r="C1446" s="17" t="s">
        <v>3109</v>
      </c>
      <c r="D1446" s="2" t="s">
        <v>53</v>
      </c>
      <c r="E1446" s="15" t="s">
        <v>207</v>
      </c>
      <c r="F1446" t="s">
        <v>208</v>
      </c>
      <c r="G1446" s="2" t="str">
        <f t="shared" si="23"/>
        <v>Medium</v>
      </c>
      <c r="H1446" s="3">
        <v>3973</v>
      </c>
      <c r="I1446" s="4">
        <v>4.7</v>
      </c>
      <c r="J1446" s="5">
        <v>115762.97860558772</v>
      </c>
      <c r="K1446" s="6">
        <v>2.6668037741367414E-3</v>
      </c>
      <c r="L1446" s="5">
        <v>536.6986106216965</v>
      </c>
      <c r="M1446" s="5">
        <v>1598.889000755097</v>
      </c>
      <c r="N1446" s="11">
        <v>2195.9598791844951</v>
      </c>
      <c r="O1446" s="13">
        <v>2024</v>
      </c>
    </row>
    <row r="1447" spans="1:15" ht="14.5" customHeight="1" x14ac:dyDescent="0.35">
      <c r="A1447" s="20" t="s">
        <v>2888</v>
      </c>
      <c r="B1447" s="2" t="s">
        <v>2889</v>
      </c>
      <c r="C1447" s="17" t="s">
        <v>3109</v>
      </c>
      <c r="D1447" s="2" t="s">
        <v>18</v>
      </c>
      <c r="E1447" s="15" t="s">
        <v>173</v>
      </c>
      <c r="F1447" t="s">
        <v>170</v>
      </c>
      <c r="G1447" s="2" t="str">
        <f t="shared" si="23"/>
        <v>Medium</v>
      </c>
      <c r="H1447" s="3">
        <v>1108</v>
      </c>
      <c r="I1447" s="4">
        <v>0.6</v>
      </c>
      <c r="J1447" s="5">
        <v>59677.977436823108</v>
      </c>
      <c r="K1447" s="6">
        <v>5.141918043015432E-3</v>
      </c>
      <c r="L1447" s="5">
        <v>520.73627256317695</v>
      </c>
      <c r="M1447" s="5">
        <v>2766.2454873646211</v>
      </c>
      <c r="N1447" s="11">
        <v>1234.726001805054</v>
      </c>
      <c r="O1447" s="13">
        <v>2024</v>
      </c>
    </row>
    <row r="1448" spans="1:15" ht="14.5" customHeight="1" x14ac:dyDescent="0.35">
      <c r="A1448" s="20" t="s">
        <v>2890</v>
      </c>
      <c r="B1448" s="2" t="s">
        <v>2891</v>
      </c>
      <c r="C1448" s="17" t="s">
        <v>3109</v>
      </c>
      <c r="D1448" s="2" t="s">
        <v>65</v>
      </c>
      <c r="E1448" s="15" t="s">
        <v>186</v>
      </c>
      <c r="F1448" t="s">
        <v>170</v>
      </c>
      <c r="G1448" s="2" t="str">
        <f t="shared" si="23"/>
        <v>Small</v>
      </c>
      <c r="H1448" s="3">
        <v>541</v>
      </c>
      <c r="I1448" s="4">
        <v>1</v>
      </c>
      <c r="J1448" s="5">
        <v>34933</v>
      </c>
      <c r="K1448" s="6">
        <v>1.2525881998669436E-2</v>
      </c>
      <c r="L1448" s="5">
        <v>569.17475046210723</v>
      </c>
      <c r="M1448" s="5">
        <v>3637.5217929759706</v>
      </c>
      <c r="N1448" s="11">
        <v>7768.9737338262476</v>
      </c>
      <c r="O1448" s="13">
        <v>2024</v>
      </c>
    </row>
    <row r="1449" spans="1:15" ht="14.5" customHeight="1" x14ac:dyDescent="0.35">
      <c r="A1449" s="20" t="s">
        <v>2892</v>
      </c>
      <c r="B1449" s="2" t="s">
        <v>2893</v>
      </c>
      <c r="C1449" s="17" t="s">
        <v>3109</v>
      </c>
      <c r="D1449" s="2" t="s">
        <v>30</v>
      </c>
      <c r="E1449" s="15" t="s">
        <v>273</v>
      </c>
      <c r="F1449" t="s">
        <v>208</v>
      </c>
      <c r="G1449" s="2" t="str">
        <f t="shared" si="23"/>
        <v>Medium</v>
      </c>
      <c r="H1449" s="3">
        <v>1741</v>
      </c>
      <c r="I1449" s="4">
        <v>0.1</v>
      </c>
      <c r="J1449" s="5">
        <v>135986.34979896611</v>
      </c>
      <c r="K1449" s="6">
        <v>2.3560918020478243E-3</v>
      </c>
      <c r="L1449" s="5">
        <v>345.4198736358415</v>
      </c>
      <c r="M1449" s="5">
        <v>541.82580700746701</v>
      </c>
      <c r="N1449" s="11">
        <v>917.73980470993683</v>
      </c>
      <c r="O1449" s="13">
        <v>2024</v>
      </c>
    </row>
    <row r="1450" spans="1:15" ht="14.5" customHeight="1" x14ac:dyDescent="0.35">
      <c r="A1450" s="20" t="s">
        <v>2894</v>
      </c>
      <c r="B1450" s="2" t="s">
        <v>2895</v>
      </c>
      <c r="C1450" s="17" t="s">
        <v>3109</v>
      </c>
      <c r="D1450" s="2" t="s">
        <v>51</v>
      </c>
      <c r="E1450" s="15" t="s">
        <v>217</v>
      </c>
      <c r="F1450" t="s">
        <v>170</v>
      </c>
      <c r="G1450" s="2" t="str">
        <f t="shared" si="23"/>
        <v>Medium</v>
      </c>
      <c r="H1450" s="3">
        <v>3744</v>
      </c>
      <c r="I1450" s="4">
        <v>1.4</v>
      </c>
      <c r="J1450" s="5">
        <v>87867.004807692312</v>
      </c>
      <c r="K1450" s="6">
        <v>4.6298577529816582E-3</v>
      </c>
      <c r="L1450" s="5">
        <v>713.72754273504268</v>
      </c>
      <c r="M1450" s="5">
        <v>666.39690170940173</v>
      </c>
      <c r="N1450" s="11">
        <v>1286.0423183760686</v>
      </c>
      <c r="O1450" s="13">
        <v>2024</v>
      </c>
    </row>
    <row r="1451" spans="1:15" ht="14.5" customHeight="1" x14ac:dyDescent="0.35">
      <c r="A1451" s="20" t="s">
        <v>2896</v>
      </c>
      <c r="B1451" s="2" t="s">
        <v>2897</v>
      </c>
      <c r="C1451" s="17" t="s">
        <v>3109</v>
      </c>
      <c r="D1451" s="2" t="s">
        <v>272</v>
      </c>
      <c r="E1451" s="15" t="s">
        <v>273</v>
      </c>
      <c r="F1451" t="s">
        <v>208</v>
      </c>
      <c r="G1451" s="2" t="str">
        <f t="shared" si="23"/>
        <v>Medium</v>
      </c>
      <c r="H1451" s="3">
        <v>4550</v>
      </c>
      <c r="I1451" s="4">
        <v>6.4</v>
      </c>
      <c r="J1451" s="5">
        <v>4296737.0628571426</v>
      </c>
      <c r="K1451" s="6">
        <v>1.3309789009578298E-3</v>
      </c>
      <c r="L1451" s="5">
        <v>6018.4694505494508</v>
      </c>
      <c r="M1451" s="5">
        <v>2672.5274725274726</v>
      </c>
      <c r="N1451" s="11">
        <v>9246.06</v>
      </c>
      <c r="O1451" s="13">
        <v>2024</v>
      </c>
    </row>
    <row r="1452" spans="1:15" ht="14.5" customHeight="1" x14ac:dyDescent="0.35">
      <c r="A1452" s="20" t="s">
        <v>2898</v>
      </c>
      <c r="B1452" s="2" t="s">
        <v>2899</v>
      </c>
      <c r="C1452" s="17" t="s">
        <v>3109</v>
      </c>
      <c r="D1452" s="2" t="s">
        <v>240</v>
      </c>
      <c r="E1452" s="15" t="s">
        <v>214</v>
      </c>
      <c r="F1452" t="s">
        <v>170</v>
      </c>
      <c r="G1452" s="2" t="str">
        <f t="shared" si="23"/>
        <v>Small</v>
      </c>
      <c r="H1452" s="3">
        <v>406</v>
      </c>
      <c r="I1452" s="4">
        <v>44.6</v>
      </c>
      <c r="J1452" s="5">
        <v>400118.16748768475</v>
      </c>
      <c r="K1452" s="6">
        <v>5.5641870847316687E-3</v>
      </c>
      <c r="L1452" s="5">
        <v>2259.4537438423645</v>
      </c>
      <c r="M1452" s="5">
        <v>5908.1276847290637</v>
      </c>
      <c r="N1452" s="11">
        <v>5454.8941133004919</v>
      </c>
      <c r="O1452" s="13">
        <v>2024</v>
      </c>
    </row>
    <row r="1453" spans="1:15" ht="14.5" customHeight="1" x14ac:dyDescent="0.35">
      <c r="A1453" s="20" t="s">
        <v>2900</v>
      </c>
      <c r="B1453" s="2" t="s">
        <v>2901</v>
      </c>
      <c r="C1453" s="17" t="s">
        <v>3109</v>
      </c>
      <c r="D1453" s="2" t="s">
        <v>292</v>
      </c>
      <c r="E1453" s="15" t="s">
        <v>173</v>
      </c>
      <c r="F1453" t="s">
        <v>170</v>
      </c>
      <c r="G1453" s="2" t="str">
        <f t="shared" si="23"/>
        <v>Small</v>
      </c>
      <c r="H1453" s="3">
        <v>719</v>
      </c>
      <c r="I1453" s="4">
        <v>1</v>
      </c>
      <c r="J1453" s="5">
        <v>57515.073713490958</v>
      </c>
      <c r="K1453" s="6">
        <v>3.0338542441241383E-3</v>
      </c>
      <c r="L1453" s="5">
        <v>331.30831710709316</v>
      </c>
      <c r="M1453" s="5">
        <v>0</v>
      </c>
      <c r="N1453" s="11">
        <v>833.26122392211403</v>
      </c>
      <c r="O1453" s="13">
        <v>2024</v>
      </c>
    </row>
    <row r="1454" spans="1:15" ht="14.5" customHeight="1" x14ac:dyDescent="0.35">
      <c r="A1454" s="20" t="s">
        <v>2902</v>
      </c>
      <c r="B1454" s="2" t="s">
        <v>2903</v>
      </c>
      <c r="C1454" s="17" t="s">
        <v>3109</v>
      </c>
      <c r="D1454" s="2" t="s">
        <v>79</v>
      </c>
      <c r="E1454" s="15" t="s">
        <v>178</v>
      </c>
      <c r="F1454" t="s">
        <v>170</v>
      </c>
      <c r="G1454" s="2" t="str">
        <f t="shared" si="23"/>
        <v>Medium</v>
      </c>
      <c r="H1454" s="3">
        <v>3685</v>
      </c>
      <c r="I1454" s="4">
        <v>1.3</v>
      </c>
      <c r="J1454" s="5">
        <v>69492.474084124828</v>
      </c>
      <c r="K1454" s="6">
        <v>2.6213589924111423E-3</v>
      </c>
      <c r="L1454" s="5">
        <v>526.85698778833103</v>
      </c>
      <c r="M1454" s="5">
        <v>476.25508819538669</v>
      </c>
      <c r="N1454" s="11">
        <v>1796.5150610583446</v>
      </c>
      <c r="O1454" s="13">
        <v>2024</v>
      </c>
    </row>
    <row r="1455" spans="1:15" ht="14.5" customHeight="1" x14ac:dyDescent="0.35">
      <c r="A1455" s="20" t="s">
        <v>2904</v>
      </c>
      <c r="B1455" s="2" t="s">
        <v>2905</v>
      </c>
      <c r="C1455" s="17" t="s">
        <v>3109</v>
      </c>
      <c r="D1455" s="2" t="s">
        <v>513</v>
      </c>
      <c r="E1455" s="15" t="s">
        <v>207</v>
      </c>
      <c r="F1455" t="s">
        <v>208</v>
      </c>
      <c r="G1455" s="2" t="str">
        <f t="shared" si="23"/>
        <v>Large</v>
      </c>
      <c r="H1455" s="3">
        <v>33066</v>
      </c>
      <c r="I1455" s="4">
        <v>2</v>
      </c>
      <c r="J1455" s="5">
        <v>56861.91625839231</v>
      </c>
      <c r="K1455" s="6" t="s">
        <v>27</v>
      </c>
      <c r="L1455" s="5">
        <v>0</v>
      </c>
      <c r="M1455" s="5">
        <v>0</v>
      </c>
      <c r="N1455" s="11">
        <v>0</v>
      </c>
      <c r="O1455" s="13">
        <v>2024</v>
      </c>
    </row>
    <row r="1456" spans="1:15" ht="14.5" customHeight="1" x14ac:dyDescent="0.35">
      <c r="A1456" s="20" t="s">
        <v>2906</v>
      </c>
      <c r="B1456" s="2" t="s">
        <v>2907</v>
      </c>
      <c r="C1456" s="17" t="s">
        <v>3109</v>
      </c>
      <c r="D1456" s="2" t="s">
        <v>13</v>
      </c>
      <c r="E1456" s="15" t="s">
        <v>186</v>
      </c>
      <c r="F1456" t="s">
        <v>170</v>
      </c>
      <c r="G1456" s="2" t="str">
        <f t="shared" si="23"/>
        <v>Medium</v>
      </c>
      <c r="H1456" s="3">
        <v>4225</v>
      </c>
      <c r="I1456" s="4">
        <v>3.7</v>
      </c>
      <c r="J1456" s="5">
        <v>73851.296804733734</v>
      </c>
      <c r="K1456" s="6">
        <v>6.5452973629282077E-3</v>
      </c>
      <c r="L1456" s="5">
        <v>644.81633136094672</v>
      </c>
      <c r="M1456" s="5">
        <v>3818.6982248520708</v>
      </c>
      <c r="N1456" s="11">
        <v>2686.270295857988</v>
      </c>
      <c r="O1456" s="13">
        <v>2024</v>
      </c>
    </row>
    <row r="1457" spans="1:15" ht="14.5" customHeight="1" x14ac:dyDescent="0.35">
      <c r="A1457" s="20" t="s">
        <v>2908</v>
      </c>
      <c r="B1457" s="2" t="s">
        <v>2909</v>
      </c>
      <c r="C1457" s="17" t="s">
        <v>3109</v>
      </c>
      <c r="D1457" s="2" t="s">
        <v>3</v>
      </c>
      <c r="E1457" s="15" t="s">
        <v>214</v>
      </c>
      <c r="F1457" t="s">
        <v>170</v>
      </c>
      <c r="G1457" s="2" t="str">
        <f t="shared" si="23"/>
        <v>Medium</v>
      </c>
      <c r="H1457" s="3">
        <v>1643</v>
      </c>
      <c r="I1457" s="4">
        <v>0.9</v>
      </c>
      <c r="J1457" s="5">
        <v>30015.892270237371</v>
      </c>
      <c r="K1457" s="6">
        <v>1.8527163060363783E-2</v>
      </c>
      <c r="L1457" s="5">
        <v>748.38131466828975</v>
      </c>
      <c r="M1457" s="5">
        <v>555.95800973828364</v>
      </c>
      <c r="N1457" s="11">
        <v>1565.1555629945221</v>
      </c>
      <c r="O1457" s="13">
        <v>2024</v>
      </c>
    </row>
    <row r="1458" spans="1:15" ht="14.5" customHeight="1" x14ac:dyDescent="0.35">
      <c r="A1458" s="20" t="s">
        <v>2910</v>
      </c>
      <c r="B1458" s="2" t="s">
        <v>2911</v>
      </c>
      <c r="C1458" s="17" t="s">
        <v>3109</v>
      </c>
      <c r="D1458" s="2" t="s">
        <v>220</v>
      </c>
      <c r="E1458" s="15" t="s">
        <v>173</v>
      </c>
      <c r="F1458" t="s">
        <v>170</v>
      </c>
      <c r="G1458" s="2" t="str">
        <f t="shared" si="23"/>
        <v>Medium</v>
      </c>
      <c r="H1458" s="3">
        <v>1040</v>
      </c>
      <c r="I1458" s="4">
        <v>1.3</v>
      </c>
      <c r="J1458" s="5">
        <v>77348.129807692312</v>
      </c>
      <c r="K1458" s="6">
        <v>6.8257455630639967E-3</v>
      </c>
      <c r="L1458" s="5">
        <v>579.25865384615383</v>
      </c>
      <c r="M1458" s="5">
        <v>3321.7365384615387</v>
      </c>
      <c r="N1458" s="11">
        <v>3805.8625000000002</v>
      </c>
      <c r="O1458" s="13">
        <v>2024</v>
      </c>
    </row>
    <row r="1459" spans="1:15" ht="14.5" customHeight="1" x14ac:dyDescent="0.35">
      <c r="A1459" s="20" t="s">
        <v>2912</v>
      </c>
      <c r="B1459" s="2" t="s">
        <v>2913</v>
      </c>
      <c r="C1459" s="17" t="s">
        <v>3109</v>
      </c>
      <c r="D1459" s="2" t="s">
        <v>30</v>
      </c>
      <c r="E1459" s="15" t="s">
        <v>273</v>
      </c>
      <c r="F1459" t="s">
        <v>208</v>
      </c>
      <c r="G1459" s="2" t="str">
        <f t="shared" si="23"/>
        <v>Medium</v>
      </c>
      <c r="H1459" s="3">
        <v>1992</v>
      </c>
      <c r="I1459" s="4">
        <v>0.2</v>
      </c>
      <c r="J1459" s="5">
        <v>260562.75200803214</v>
      </c>
      <c r="K1459" s="6">
        <v>3.0531035773547614E-3</v>
      </c>
      <c r="L1459" s="5">
        <v>846.43217871485956</v>
      </c>
      <c r="M1459" s="5">
        <v>481.92771084337352</v>
      </c>
      <c r="N1459" s="11">
        <v>1409.2034287148595</v>
      </c>
      <c r="O1459" s="13">
        <v>2024</v>
      </c>
    </row>
    <row r="1460" spans="1:15" ht="14.5" customHeight="1" x14ac:dyDescent="0.35">
      <c r="A1460" s="20" t="s">
        <v>2914</v>
      </c>
      <c r="B1460" s="2" t="s">
        <v>2915</v>
      </c>
      <c r="C1460" s="17" t="s">
        <v>3109</v>
      </c>
      <c r="D1460" s="2" t="s">
        <v>51</v>
      </c>
      <c r="E1460" s="15" t="s">
        <v>217</v>
      </c>
      <c r="F1460" t="s">
        <v>170</v>
      </c>
      <c r="G1460" s="2" t="str">
        <f t="shared" si="23"/>
        <v>Medium</v>
      </c>
      <c r="H1460" s="3">
        <v>1754</v>
      </c>
      <c r="I1460" s="4">
        <v>1.3</v>
      </c>
      <c r="J1460" s="5">
        <v>73522.560433295323</v>
      </c>
      <c r="K1460" s="6">
        <v>3.1159996337118221E-3</v>
      </c>
      <c r="L1460" s="5">
        <v>541.74086088939566</v>
      </c>
      <c r="M1460" s="5">
        <v>1708.3879076396809</v>
      </c>
      <c r="N1460" s="11">
        <v>1019.0657354618016</v>
      </c>
      <c r="O1460" s="13">
        <v>2024</v>
      </c>
    </row>
    <row r="1461" spans="1:15" ht="14.5" customHeight="1" x14ac:dyDescent="0.35">
      <c r="A1461" s="20" t="s">
        <v>2916</v>
      </c>
      <c r="B1461" s="2" t="s">
        <v>2917</v>
      </c>
      <c r="C1461" s="17" t="s">
        <v>3109</v>
      </c>
      <c r="D1461" s="2" t="s">
        <v>513</v>
      </c>
      <c r="E1461" s="15" t="s">
        <v>207</v>
      </c>
      <c r="F1461" t="s">
        <v>208</v>
      </c>
      <c r="G1461" s="2" t="str">
        <f t="shared" si="23"/>
        <v>Large</v>
      </c>
      <c r="H1461" s="3">
        <v>11441</v>
      </c>
      <c r="I1461" s="4">
        <v>2.1</v>
      </c>
      <c r="J1461" s="5">
        <v>113015.67773795997</v>
      </c>
      <c r="K1461" s="6">
        <v>9.3791606335360579E-3</v>
      </c>
      <c r="L1461" s="5">
        <v>1131.3351525216328</v>
      </c>
      <c r="M1461" s="5">
        <v>1368.4262669347086</v>
      </c>
      <c r="N1461" s="11">
        <v>1907.0907272091601</v>
      </c>
      <c r="O1461" s="13">
        <v>2024</v>
      </c>
    </row>
    <row r="1462" spans="1:15" ht="14.5" customHeight="1" x14ac:dyDescent="0.35">
      <c r="A1462" s="20" t="s">
        <v>2918</v>
      </c>
      <c r="B1462" s="2" t="s">
        <v>2919</v>
      </c>
      <c r="C1462" s="17" t="s">
        <v>3109</v>
      </c>
      <c r="D1462" s="2" t="s">
        <v>81</v>
      </c>
      <c r="E1462" s="15" t="s">
        <v>214</v>
      </c>
      <c r="F1462" t="s">
        <v>170</v>
      </c>
      <c r="G1462" s="2" t="str">
        <f t="shared" si="23"/>
        <v>Small</v>
      </c>
      <c r="H1462" s="3">
        <v>890</v>
      </c>
      <c r="I1462" s="4">
        <v>0.7</v>
      </c>
      <c r="J1462" s="5">
        <v>135617.08426966291</v>
      </c>
      <c r="K1462" s="6">
        <v>3.4163273900602743E-3</v>
      </c>
      <c r="L1462" s="5">
        <v>1172.5056179775281</v>
      </c>
      <c r="M1462" s="5">
        <v>13692.359550561798</v>
      </c>
      <c r="N1462" s="11">
        <v>3262.1516853932585</v>
      </c>
      <c r="O1462" s="13">
        <v>2024</v>
      </c>
    </row>
    <row r="1463" spans="1:15" ht="14.5" customHeight="1" x14ac:dyDescent="0.35">
      <c r="A1463" s="20" t="s">
        <v>2920</v>
      </c>
      <c r="B1463" s="2" t="s">
        <v>2921</v>
      </c>
      <c r="C1463" s="17" t="s">
        <v>3109</v>
      </c>
      <c r="D1463" s="2" t="s">
        <v>248</v>
      </c>
      <c r="E1463" s="15" t="s">
        <v>217</v>
      </c>
      <c r="F1463" t="s">
        <v>170</v>
      </c>
      <c r="G1463" s="2" t="str">
        <f t="shared" si="23"/>
        <v>Small</v>
      </c>
      <c r="H1463" s="3">
        <v>568</v>
      </c>
      <c r="I1463" s="4">
        <v>1.2</v>
      </c>
      <c r="J1463" s="5">
        <v>325116.14260563382</v>
      </c>
      <c r="K1463" s="6">
        <v>2.4259153022395804E-3</v>
      </c>
      <c r="L1463" s="5">
        <v>859.49647887323943</v>
      </c>
      <c r="M1463" s="5">
        <v>5815.3239436619715</v>
      </c>
      <c r="N1463" s="11">
        <v>2742.2605633802818</v>
      </c>
      <c r="O1463" s="13">
        <v>2024</v>
      </c>
    </row>
    <row r="1464" spans="1:15" ht="14.5" customHeight="1" x14ac:dyDescent="0.35">
      <c r="A1464" s="20" t="s">
        <v>2922</v>
      </c>
      <c r="B1464" s="2" t="s">
        <v>2923</v>
      </c>
      <c r="C1464" s="17" t="s">
        <v>3109</v>
      </c>
      <c r="D1464" s="2" t="s">
        <v>55</v>
      </c>
      <c r="E1464" s="15" t="s">
        <v>207</v>
      </c>
      <c r="F1464" t="s">
        <v>208</v>
      </c>
      <c r="G1464" s="2" t="str">
        <f t="shared" si="23"/>
        <v>Large</v>
      </c>
      <c r="H1464" s="3">
        <v>11860</v>
      </c>
      <c r="I1464" s="4">
        <v>2.9</v>
      </c>
      <c r="J1464" s="5">
        <v>206303.99451939293</v>
      </c>
      <c r="K1464" s="6">
        <v>7.9561196177218262E-3</v>
      </c>
      <c r="L1464" s="5">
        <v>1994.8127318718382</v>
      </c>
      <c r="M1464" s="5">
        <v>4480.1854974704893</v>
      </c>
      <c r="N1464" s="11">
        <v>3584.4005902192243</v>
      </c>
      <c r="O1464" s="13">
        <v>2024</v>
      </c>
    </row>
    <row r="1465" spans="1:15" ht="14.5" customHeight="1" x14ac:dyDescent="0.35">
      <c r="A1465" s="20" t="s">
        <v>2924</v>
      </c>
      <c r="B1465" s="2" t="s">
        <v>2925</v>
      </c>
      <c r="C1465" s="17" t="s">
        <v>3109</v>
      </c>
      <c r="D1465" s="2" t="s">
        <v>94</v>
      </c>
      <c r="E1465" s="15" t="s">
        <v>169</v>
      </c>
      <c r="F1465" t="s">
        <v>170</v>
      </c>
      <c r="G1465" s="2" t="str">
        <f t="shared" si="23"/>
        <v>Small</v>
      </c>
      <c r="H1465" s="3">
        <v>752</v>
      </c>
      <c r="I1465" s="4">
        <v>1.3</v>
      </c>
      <c r="J1465" s="5">
        <v>47696.191489361699</v>
      </c>
      <c r="K1465" s="6">
        <v>4.8992771625014893E-3</v>
      </c>
      <c r="L1465" s="5">
        <v>448.63164893617022</v>
      </c>
      <c r="M1465" s="5">
        <v>3581.3191489361702</v>
      </c>
      <c r="N1465" s="11">
        <v>2558.8882978723404</v>
      </c>
      <c r="O1465" s="13">
        <v>2024</v>
      </c>
    </row>
    <row r="1466" spans="1:15" ht="14.5" customHeight="1" x14ac:dyDescent="0.35">
      <c r="A1466" s="20" t="s">
        <v>2926</v>
      </c>
      <c r="B1466" s="2" t="s">
        <v>2927</v>
      </c>
      <c r="C1466" s="17" t="s">
        <v>3109</v>
      </c>
      <c r="D1466" s="2" t="s">
        <v>30</v>
      </c>
      <c r="E1466" s="15" t="s">
        <v>273</v>
      </c>
      <c r="F1466" t="s">
        <v>208</v>
      </c>
      <c r="G1466" s="2" t="str">
        <f t="shared" si="23"/>
        <v>Medium</v>
      </c>
      <c r="H1466" s="3">
        <v>2759</v>
      </c>
      <c r="I1466" s="4">
        <v>0.4</v>
      </c>
      <c r="J1466" s="5">
        <v>347041.253352664</v>
      </c>
      <c r="K1466" s="6">
        <v>1.5268210199004535E-3</v>
      </c>
      <c r="L1466" s="5">
        <v>563.23160565422256</v>
      </c>
      <c r="M1466" s="5">
        <v>0</v>
      </c>
      <c r="N1466" s="11">
        <v>793.44907575208413</v>
      </c>
      <c r="O1466" s="13">
        <v>2024</v>
      </c>
    </row>
    <row r="1467" spans="1:15" ht="14.5" customHeight="1" x14ac:dyDescent="0.35">
      <c r="A1467" s="20" t="s">
        <v>2928</v>
      </c>
      <c r="B1467" s="2" t="s">
        <v>2929</v>
      </c>
      <c r="C1467" s="17" t="s">
        <v>3109</v>
      </c>
      <c r="D1467" s="2" t="s">
        <v>9</v>
      </c>
      <c r="E1467" s="15" t="s">
        <v>207</v>
      </c>
      <c r="F1467" t="s">
        <v>208</v>
      </c>
      <c r="G1467" s="2" t="str">
        <f t="shared" si="23"/>
        <v>Medium</v>
      </c>
      <c r="H1467" s="3">
        <v>1012</v>
      </c>
      <c r="I1467" s="4">
        <v>1.6</v>
      </c>
      <c r="J1467" s="5">
        <v>149000.87944664032</v>
      </c>
      <c r="K1467" s="6">
        <v>3.4126116983817572E-3</v>
      </c>
      <c r="L1467" s="5">
        <v>626.52922924901191</v>
      </c>
      <c r="M1467" s="5">
        <v>3336.5020750988142</v>
      </c>
      <c r="N1467" s="11">
        <v>1817.6803359683795</v>
      </c>
      <c r="O1467" s="13">
        <v>2024</v>
      </c>
    </row>
    <row r="1468" spans="1:15" ht="14.5" customHeight="1" x14ac:dyDescent="0.35">
      <c r="A1468" s="20" t="s">
        <v>2930</v>
      </c>
      <c r="B1468" s="2" t="s">
        <v>2931</v>
      </c>
      <c r="C1468" s="17" t="s">
        <v>3109</v>
      </c>
      <c r="D1468" s="2" t="s">
        <v>39</v>
      </c>
      <c r="E1468" s="15" t="s">
        <v>173</v>
      </c>
      <c r="F1468" t="s">
        <v>170</v>
      </c>
      <c r="G1468" s="2" t="str">
        <f t="shared" si="23"/>
        <v>Medium</v>
      </c>
      <c r="H1468" s="3">
        <v>1714</v>
      </c>
      <c r="I1468" s="4">
        <v>1.4</v>
      </c>
      <c r="J1468" s="5">
        <v>91386.602100350065</v>
      </c>
      <c r="K1468" s="6">
        <v>7.2222312026670437E-3</v>
      </c>
      <c r="L1468" s="5">
        <v>917.05542590431742</v>
      </c>
      <c r="M1468" s="5">
        <v>3889.0910151691951</v>
      </c>
      <c r="N1468" s="11">
        <v>3059.9209451575261</v>
      </c>
      <c r="O1468" s="13">
        <v>2024</v>
      </c>
    </row>
    <row r="1469" spans="1:15" ht="14.5" customHeight="1" x14ac:dyDescent="0.35">
      <c r="A1469" s="20" t="s">
        <v>2932</v>
      </c>
      <c r="B1469" s="2" t="s">
        <v>2933</v>
      </c>
      <c r="C1469" s="17" t="s">
        <v>3109</v>
      </c>
      <c r="D1469" s="2" t="s">
        <v>55</v>
      </c>
      <c r="E1469" s="15" t="s">
        <v>207</v>
      </c>
      <c r="F1469" t="s">
        <v>208</v>
      </c>
      <c r="G1469" s="2" t="str">
        <f t="shared" si="23"/>
        <v>Medium</v>
      </c>
      <c r="H1469" s="3">
        <v>7084</v>
      </c>
      <c r="I1469" s="4">
        <v>0.6</v>
      </c>
      <c r="J1469" s="5">
        <v>176046.53924336532</v>
      </c>
      <c r="K1469" s="6">
        <v>7.1868179420922782E-3</v>
      </c>
      <c r="L1469" s="5">
        <v>1636.575239977414</v>
      </c>
      <c r="M1469" s="5">
        <v>873.8001129305477</v>
      </c>
      <c r="N1469" s="11">
        <v>2382.2058159232074</v>
      </c>
      <c r="O1469" s="13">
        <v>2024</v>
      </c>
    </row>
    <row r="1470" spans="1:15" ht="14.5" customHeight="1" x14ac:dyDescent="0.35">
      <c r="A1470" s="20" t="s">
        <v>2934</v>
      </c>
      <c r="B1470" s="2" t="s">
        <v>2935</v>
      </c>
      <c r="C1470" s="17" t="s">
        <v>3109</v>
      </c>
      <c r="D1470" s="2" t="s">
        <v>89</v>
      </c>
      <c r="E1470" s="15" t="s">
        <v>183</v>
      </c>
      <c r="F1470" t="s">
        <v>170</v>
      </c>
      <c r="G1470" s="2" t="str">
        <f t="shared" si="23"/>
        <v>Small</v>
      </c>
      <c r="H1470" s="3">
        <v>904</v>
      </c>
      <c r="I1470" s="4">
        <v>0.7</v>
      </c>
      <c r="J1470" s="5">
        <v>61794.536504424781</v>
      </c>
      <c r="K1470" s="6">
        <v>7.8133428935144595E-3</v>
      </c>
      <c r="L1470" s="5">
        <v>529.76844026548667</v>
      </c>
      <c r="M1470" s="5">
        <v>2762.1681415929202</v>
      </c>
      <c r="N1470" s="11">
        <v>1031.3006084070796</v>
      </c>
      <c r="O1470" s="13">
        <v>2024</v>
      </c>
    </row>
    <row r="1471" spans="1:15" ht="14.5" customHeight="1" x14ac:dyDescent="0.35">
      <c r="A1471" s="20" t="s">
        <v>2936</v>
      </c>
      <c r="B1471" s="2" t="s">
        <v>2937</v>
      </c>
      <c r="C1471" s="17" t="s">
        <v>3109</v>
      </c>
      <c r="D1471" s="2" t="s">
        <v>282</v>
      </c>
      <c r="E1471" s="15" t="s">
        <v>169</v>
      </c>
      <c r="F1471" t="s">
        <v>170</v>
      </c>
      <c r="G1471" s="2" t="str">
        <f t="shared" si="23"/>
        <v>Medium</v>
      </c>
      <c r="H1471" s="3">
        <v>3282</v>
      </c>
      <c r="I1471" s="4">
        <v>2.1</v>
      </c>
      <c r="J1471" s="5">
        <v>53636.933272394883</v>
      </c>
      <c r="K1471" s="6">
        <v>1.2135801561284919E-2</v>
      </c>
      <c r="L1471" s="5">
        <v>673.3817794028032</v>
      </c>
      <c r="M1471" s="5">
        <v>6238.6858622790978</v>
      </c>
      <c r="N1471" s="11">
        <v>3550.2495429616088</v>
      </c>
      <c r="O1471" s="13">
        <v>2024</v>
      </c>
    </row>
    <row r="1472" spans="1:15" ht="14.5" customHeight="1" x14ac:dyDescent="0.35">
      <c r="A1472" s="20" t="s">
        <v>2938</v>
      </c>
      <c r="B1472" s="2" t="s">
        <v>2939</v>
      </c>
      <c r="C1472" s="17" t="s">
        <v>3109</v>
      </c>
      <c r="D1472" s="2" t="s">
        <v>597</v>
      </c>
      <c r="E1472" s="15" t="s">
        <v>169</v>
      </c>
      <c r="F1472" t="s">
        <v>170</v>
      </c>
      <c r="G1472" s="2" t="str">
        <f t="shared" si="23"/>
        <v>Small</v>
      </c>
      <c r="H1472" s="3">
        <v>197</v>
      </c>
      <c r="I1472" s="4">
        <v>1</v>
      </c>
      <c r="J1472" s="5">
        <v>58317.619289340102</v>
      </c>
      <c r="K1472" s="6">
        <v>6.6381093001035545E-3</v>
      </c>
      <c r="L1472" s="5">
        <v>393.68934010152287</v>
      </c>
      <c r="M1472" s="5">
        <v>744.4416243654822</v>
      </c>
      <c r="N1472" s="11">
        <v>1084.5261421319797</v>
      </c>
      <c r="O1472" s="13">
        <v>2024</v>
      </c>
    </row>
    <row r="1473" spans="1:15" ht="14.5" customHeight="1" x14ac:dyDescent="0.35">
      <c r="A1473" s="20" t="s">
        <v>2940</v>
      </c>
      <c r="B1473" s="2" t="s">
        <v>2941</v>
      </c>
      <c r="C1473" s="17" t="s">
        <v>3109</v>
      </c>
      <c r="D1473" s="2" t="s">
        <v>53</v>
      </c>
      <c r="E1473" s="15" t="s">
        <v>207</v>
      </c>
      <c r="F1473" t="s">
        <v>208</v>
      </c>
      <c r="G1473" s="2" t="str">
        <f t="shared" si="23"/>
        <v>Small</v>
      </c>
      <c r="H1473" s="3">
        <v>645</v>
      </c>
      <c r="I1473" s="4">
        <v>2.7</v>
      </c>
      <c r="J1473" s="5">
        <v>839515.49457364343</v>
      </c>
      <c r="K1473" s="6">
        <v>6.7492639082076377E-3</v>
      </c>
      <c r="L1473" s="5">
        <v>5918.1767441860466</v>
      </c>
      <c r="M1473" s="5">
        <v>8480.17519379845</v>
      </c>
      <c r="N1473" s="11">
        <v>8458.0852713178301</v>
      </c>
      <c r="O1473" s="13">
        <v>2024</v>
      </c>
    </row>
    <row r="1474" spans="1:15" ht="14.5" customHeight="1" x14ac:dyDescent="0.35">
      <c r="A1474" s="20" t="s">
        <v>2942</v>
      </c>
      <c r="B1474" s="2" t="s">
        <v>2943</v>
      </c>
      <c r="C1474" s="17" t="s">
        <v>3109</v>
      </c>
      <c r="D1474" s="2" t="s">
        <v>69</v>
      </c>
      <c r="E1474" s="15" t="s">
        <v>173</v>
      </c>
      <c r="F1474" t="s">
        <v>170</v>
      </c>
      <c r="G1474" s="2" t="str">
        <f t="shared" si="23"/>
        <v>Medium</v>
      </c>
      <c r="H1474" s="3">
        <v>1065</v>
      </c>
      <c r="I1474" s="4">
        <v>1</v>
      </c>
      <c r="J1474" s="5">
        <v>55948.800000000003</v>
      </c>
      <c r="K1474" s="6" t="s">
        <v>27</v>
      </c>
      <c r="L1474" s="5">
        <v>0</v>
      </c>
      <c r="M1474" s="5">
        <v>0</v>
      </c>
      <c r="N1474" s="11">
        <v>0</v>
      </c>
      <c r="O1474" s="13">
        <v>2024</v>
      </c>
    </row>
    <row r="1475" spans="1:15" ht="14.5" customHeight="1" x14ac:dyDescent="0.35">
      <c r="A1475" s="20" t="s">
        <v>2944</v>
      </c>
      <c r="B1475" s="2" t="s">
        <v>2945</v>
      </c>
      <c r="C1475" s="17" t="s">
        <v>3109</v>
      </c>
      <c r="D1475" s="2" t="s">
        <v>5</v>
      </c>
      <c r="E1475" s="15" t="s">
        <v>183</v>
      </c>
      <c r="F1475" t="s">
        <v>170</v>
      </c>
      <c r="G1475" s="2" t="str">
        <f t="shared" si="23"/>
        <v>Medium</v>
      </c>
      <c r="H1475" s="3">
        <v>1075</v>
      </c>
      <c r="I1475" s="4">
        <v>1.7</v>
      </c>
      <c r="J1475" s="5">
        <v>76537.248372093018</v>
      </c>
      <c r="K1475" s="6">
        <v>3.8209332991498458E-3</v>
      </c>
      <c r="L1475" s="5">
        <v>632.12737674418611</v>
      </c>
      <c r="M1475" s="5">
        <v>2064.8920930232557</v>
      </c>
      <c r="N1475" s="11">
        <v>1593.8987720930231</v>
      </c>
      <c r="O1475" s="13">
        <v>2024</v>
      </c>
    </row>
    <row r="1476" spans="1:15" ht="14.5" customHeight="1" x14ac:dyDescent="0.35">
      <c r="A1476" s="20" t="s">
        <v>2946</v>
      </c>
      <c r="B1476" s="2" t="s">
        <v>2947</v>
      </c>
      <c r="C1476" s="17" t="s">
        <v>3109</v>
      </c>
      <c r="D1476" s="2" t="s">
        <v>53</v>
      </c>
      <c r="E1476" s="15" t="s">
        <v>207</v>
      </c>
      <c r="F1476" t="s">
        <v>208</v>
      </c>
      <c r="G1476" s="2" t="str">
        <f t="shared" si="23"/>
        <v>Small</v>
      </c>
      <c r="H1476" s="3">
        <v>592</v>
      </c>
      <c r="I1476" s="4">
        <v>0.3</v>
      </c>
      <c r="J1476" s="5">
        <v>72685.1875</v>
      </c>
      <c r="K1476" s="6">
        <v>5.8308657120485184E-3</v>
      </c>
      <c r="L1476" s="5">
        <v>660.02702702702697</v>
      </c>
      <c r="M1476" s="5">
        <v>194.35304054054055</v>
      </c>
      <c r="N1476" s="11">
        <v>709.48141891891896</v>
      </c>
      <c r="O1476" s="13">
        <v>2024</v>
      </c>
    </row>
    <row r="1477" spans="1:15" ht="14.5" customHeight="1" x14ac:dyDescent="0.35">
      <c r="A1477" s="20" t="s">
        <v>2948</v>
      </c>
      <c r="B1477" s="2" t="s">
        <v>2949</v>
      </c>
      <c r="C1477" s="17" t="s">
        <v>3109</v>
      </c>
      <c r="D1477" s="2" t="s">
        <v>30</v>
      </c>
      <c r="E1477" s="15" t="s">
        <v>273</v>
      </c>
      <c r="F1477" t="s">
        <v>208</v>
      </c>
      <c r="G1477" s="2" t="str">
        <f t="shared" si="23"/>
        <v>Medium</v>
      </c>
      <c r="H1477" s="3">
        <v>1786</v>
      </c>
      <c r="I1477" s="4">
        <v>4.3</v>
      </c>
      <c r="J1477" s="5">
        <v>410709.96640537516</v>
      </c>
      <c r="K1477" s="6">
        <v>3.4368763019271245E-3</v>
      </c>
      <c r="L1477" s="5">
        <v>1471.6366181410974</v>
      </c>
      <c r="M1477" s="5">
        <v>722.28443449048154</v>
      </c>
      <c r="N1477" s="11">
        <v>2009.7721164613663</v>
      </c>
      <c r="O1477" s="13">
        <v>2024</v>
      </c>
    </row>
    <row r="1478" spans="1:15" ht="14.5" customHeight="1" x14ac:dyDescent="0.35">
      <c r="A1478" s="20" t="s">
        <v>2950</v>
      </c>
      <c r="B1478" s="2" t="s">
        <v>2951</v>
      </c>
      <c r="C1478" s="17" t="s">
        <v>3109</v>
      </c>
      <c r="D1478" s="2" t="s">
        <v>513</v>
      </c>
      <c r="E1478" s="15" t="s">
        <v>207</v>
      </c>
      <c r="F1478" t="s">
        <v>208</v>
      </c>
      <c r="G1478" s="2" t="str">
        <f t="shared" si="23"/>
        <v>Medium</v>
      </c>
      <c r="H1478" s="3">
        <v>2015</v>
      </c>
      <c r="I1478" s="4">
        <v>1.2</v>
      </c>
      <c r="J1478" s="5">
        <v>276786.20744416874</v>
      </c>
      <c r="K1478" s="6">
        <v>3.962517617668122E-3</v>
      </c>
      <c r="L1478" s="5">
        <v>1169.8774193548388</v>
      </c>
      <c r="M1478" s="5">
        <v>1493.7965260545905</v>
      </c>
      <c r="N1478" s="11">
        <v>1703.7330024813896</v>
      </c>
      <c r="O1478" s="13">
        <v>2024</v>
      </c>
    </row>
    <row r="1479" spans="1:15" ht="14.5" customHeight="1" x14ac:dyDescent="0.35">
      <c r="A1479" s="20" t="s">
        <v>2952</v>
      </c>
      <c r="B1479" s="2" t="s">
        <v>2953</v>
      </c>
      <c r="C1479" s="17" t="s">
        <v>3109</v>
      </c>
      <c r="D1479" s="2" t="s">
        <v>37</v>
      </c>
      <c r="E1479" s="15" t="s">
        <v>217</v>
      </c>
      <c r="F1479" t="s">
        <v>170</v>
      </c>
      <c r="G1479" s="2" t="str">
        <f t="shared" si="23"/>
        <v>Medium</v>
      </c>
      <c r="H1479" s="3">
        <v>1785</v>
      </c>
      <c r="I1479" s="4">
        <v>1.3</v>
      </c>
      <c r="J1479" s="5">
        <v>88810.965266106447</v>
      </c>
      <c r="K1479" s="6">
        <v>3.1561400362825204E-3</v>
      </c>
      <c r="L1479" s="5">
        <v>493.82913725490198</v>
      </c>
      <c r="M1479" s="5">
        <v>1505.8082184873949</v>
      </c>
      <c r="N1479" s="11">
        <v>1054.1712661064425</v>
      </c>
      <c r="O1479" s="13">
        <v>2024</v>
      </c>
    </row>
    <row r="1480" spans="1:15" ht="14.5" customHeight="1" x14ac:dyDescent="0.35">
      <c r="A1480" s="20" t="s">
        <v>2954</v>
      </c>
      <c r="B1480" s="2" t="s">
        <v>2955</v>
      </c>
      <c r="C1480" s="17" t="s">
        <v>3109</v>
      </c>
      <c r="D1480" s="2" t="s">
        <v>77</v>
      </c>
      <c r="E1480" s="15" t="s">
        <v>217</v>
      </c>
      <c r="F1480" t="s">
        <v>170</v>
      </c>
      <c r="G1480" s="2" t="str">
        <f t="shared" si="23"/>
        <v>Small</v>
      </c>
      <c r="H1480" s="3">
        <v>510</v>
      </c>
      <c r="I1480" s="4">
        <v>0.5</v>
      </c>
      <c r="J1480" s="5">
        <v>63451.168627450978</v>
      </c>
      <c r="K1480" s="6">
        <v>1.8189834789118058E-3</v>
      </c>
      <c r="L1480" s="5">
        <v>233.26729411764708</v>
      </c>
      <c r="M1480" s="5">
        <v>1407.2352941176471</v>
      </c>
      <c r="N1480" s="11">
        <v>816.37892156862745</v>
      </c>
      <c r="O1480" s="13">
        <v>2024</v>
      </c>
    </row>
    <row r="1481" spans="1:15" ht="14.5" customHeight="1" x14ac:dyDescent="0.35">
      <c r="A1481" s="20" t="s">
        <v>2956</v>
      </c>
      <c r="B1481" s="2" t="s">
        <v>2957</v>
      </c>
      <c r="C1481" s="17" t="s">
        <v>3109</v>
      </c>
      <c r="D1481" s="2" t="s">
        <v>30</v>
      </c>
      <c r="E1481" s="15" t="s">
        <v>273</v>
      </c>
      <c r="F1481" t="s">
        <v>208</v>
      </c>
      <c r="G1481" s="2" t="str">
        <f t="shared" si="23"/>
        <v>Large</v>
      </c>
      <c r="H1481" s="3">
        <v>40634</v>
      </c>
      <c r="I1481" s="4">
        <v>3.5</v>
      </c>
      <c r="J1481" s="5">
        <v>151963.46087020723</v>
      </c>
      <c r="K1481" s="6" t="s">
        <v>27</v>
      </c>
      <c r="L1481" s="5">
        <v>0</v>
      </c>
      <c r="M1481" s="5">
        <v>0</v>
      </c>
      <c r="N1481" s="11">
        <v>0</v>
      </c>
      <c r="O1481" s="13">
        <v>2024</v>
      </c>
    </row>
    <row r="1482" spans="1:15" ht="14.5" customHeight="1" x14ac:dyDescent="0.35">
      <c r="A1482" s="20" t="s">
        <v>2958</v>
      </c>
      <c r="B1482" s="2" t="s">
        <v>2959</v>
      </c>
      <c r="C1482" s="17" t="s">
        <v>3109</v>
      </c>
      <c r="D1482" s="2" t="s">
        <v>81</v>
      </c>
      <c r="E1482" s="15" t="s">
        <v>214</v>
      </c>
      <c r="F1482" t="s">
        <v>170</v>
      </c>
      <c r="G1482" s="2" t="str">
        <f t="shared" si="23"/>
        <v>Medium</v>
      </c>
      <c r="H1482" s="3">
        <v>1177</v>
      </c>
      <c r="I1482" s="4">
        <v>1</v>
      </c>
      <c r="J1482" s="5">
        <v>69424.718776550551</v>
      </c>
      <c r="K1482" s="6">
        <v>3.0727456550492509E-3</v>
      </c>
      <c r="L1482" s="5">
        <v>424.91598980458792</v>
      </c>
      <c r="M1482" s="5">
        <v>9028.0373831775705</v>
      </c>
      <c r="N1482" s="11">
        <v>1632.1270688190316</v>
      </c>
      <c r="O1482" s="13">
        <v>2024</v>
      </c>
    </row>
    <row r="1483" spans="1:15" ht="14.5" customHeight="1" x14ac:dyDescent="0.35">
      <c r="A1483" s="20" t="s">
        <v>2960</v>
      </c>
      <c r="B1483" s="2" t="s">
        <v>2961</v>
      </c>
      <c r="C1483" s="17" t="s">
        <v>3109</v>
      </c>
      <c r="D1483" s="2" t="s">
        <v>15</v>
      </c>
      <c r="E1483" s="15" t="s">
        <v>178</v>
      </c>
      <c r="F1483" t="s">
        <v>170</v>
      </c>
      <c r="G1483" s="2" t="str">
        <f t="shared" si="23"/>
        <v>Medium</v>
      </c>
      <c r="H1483" s="3">
        <v>2744</v>
      </c>
      <c r="I1483" s="4">
        <v>1.4</v>
      </c>
      <c r="J1483" s="5">
        <v>88710.389212827984</v>
      </c>
      <c r="K1483" s="6">
        <v>3.5140375221383662E-3</v>
      </c>
      <c r="L1483" s="5">
        <v>784.68325437317787</v>
      </c>
      <c r="M1483" s="5">
        <v>0</v>
      </c>
      <c r="N1483" s="11">
        <v>1324.9592784256558</v>
      </c>
      <c r="O1483" s="13">
        <v>2024</v>
      </c>
    </row>
    <row r="1484" spans="1:15" ht="14.5" customHeight="1" x14ac:dyDescent="0.35">
      <c r="A1484" s="20" t="s">
        <v>2962</v>
      </c>
      <c r="B1484" s="2" t="s">
        <v>2963</v>
      </c>
      <c r="C1484" s="17" t="s">
        <v>3109</v>
      </c>
      <c r="D1484" s="2" t="s">
        <v>51</v>
      </c>
      <c r="E1484" s="15" t="s">
        <v>217</v>
      </c>
      <c r="F1484" t="s">
        <v>170</v>
      </c>
      <c r="G1484" s="2" t="str">
        <f t="shared" si="23"/>
        <v>Small</v>
      </c>
      <c r="H1484" s="3">
        <v>666</v>
      </c>
      <c r="I1484" s="4">
        <v>0.5</v>
      </c>
      <c r="J1484" s="5">
        <v>55115.292792792796</v>
      </c>
      <c r="K1484" s="6">
        <v>6.6953542785073653E-3</v>
      </c>
      <c r="L1484" s="5">
        <v>557.453048048048</v>
      </c>
      <c r="M1484" s="5">
        <v>415.32096096096097</v>
      </c>
      <c r="N1484" s="11">
        <v>1107.9865765765767</v>
      </c>
      <c r="O1484" s="13">
        <v>2024</v>
      </c>
    </row>
    <row r="1485" spans="1:15" ht="14.5" customHeight="1" x14ac:dyDescent="0.35">
      <c r="A1485" s="20" t="s">
        <v>2964</v>
      </c>
      <c r="B1485" s="2" t="s">
        <v>2965</v>
      </c>
      <c r="C1485" s="17" t="s">
        <v>3109</v>
      </c>
      <c r="D1485" s="2" t="s">
        <v>272</v>
      </c>
      <c r="E1485" s="15" t="s">
        <v>273</v>
      </c>
      <c r="F1485" t="s">
        <v>208</v>
      </c>
      <c r="G1485" s="2" t="str">
        <f t="shared" si="23"/>
        <v>Medium</v>
      </c>
      <c r="H1485" s="3">
        <v>1735</v>
      </c>
      <c r="I1485" s="4">
        <v>1</v>
      </c>
      <c r="J1485" s="5">
        <v>296559.78328530258</v>
      </c>
      <c r="K1485" s="6">
        <v>1.4343036254686073E-3</v>
      </c>
      <c r="L1485" s="5">
        <v>479.35734870317003</v>
      </c>
      <c r="M1485" s="5">
        <v>0</v>
      </c>
      <c r="N1485" s="11">
        <v>514.46916426512973</v>
      </c>
      <c r="O1485" s="13">
        <v>2024</v>
      </c>
    </row>
    <row r="1486" spans="1:15" ht="14.5" customHeight="1" x14ac:dyDescent="0.35">
      <c r="A1486" s="20" t="s">
        <v>2966</v>
      </c>
      <c r="B1486" s="2" t="s">
        <v>2967</v>
      </c>
      <c r="C1486" s="17" t="s">
        <v>3109</v>
      </c>
      <c r="D1486" s="2" t="s">
        <v>1</v>
      </c>
      <c r="E1486" s="15" t="s">
        <v>217</v>
      </c>
      <c r="F1486" t="s">
        <v>170</v>
      </c>
      <c r="G1486" s="2" t="str">
        <f t="shared" si="23"/>
        <v>Medium</v>
      </c>
      <c r="H1486" s="3">
        <v>2841</v>
      </c>
      <c r="I1486" s="4">
        <v>2.1</v>
      </c>
      <c r="J1486" s="5">
        <v>105029.1731784583</v>
      </c>
      <c r="K1486" s="6">
        <v>1.0696984707632949E-3</v>
      </c>
      <c r="L1486" s="5">
        <v>596.35574445617726</v>
      </c>
      <c r="M1486" s="5">
        <v>351.98873636043646</v>
      </c>
      <c r="N1486" s="11">
        <v>1197.7351108764519</v>
      </c>
      <c r="O1486" s="13">
        <v>2024</v>
      </c>
    </row>
    <row r="1487" spans="1:15" ht="14.5" customHeight="1" x14ac:dyDescent="0.35">
      <c r="A1487" s="20" t="s">
        <v>2968</v>
      </c>
      <c r="B1487" s="2" t="s">
        <v>2969</v>
      </c>
      <c r="C1487" s="17" t="s">
        <v>3109</v>
      </c>
      <c r="D1487" s="2" t="s">
        <v>63</v>
      </c>
      <c r="E1487" s="15" t="s">
        <v>169</v>
      </c>
      <c r="F1487" t="s">
        <v>170</v>
      </c>
      <c r="G1487" s="2" t="str">
        <f t="shared" si="23"/>
        <v>Small</v>
      </c>
      <c r="H1487" s="3">
        <v>937</v>
      </c>
      <c r="I1487" s="4">
        <v>2.2000000000000002</v>
      </c>
      <c r="J1487" s="5">
        <v>79816.740661686228</v>
      </c>
      <c r="K1487" s="6">
        <v>3.1703168060302923E-3</v>
      </c>
      <c r="L1487" s="5">
        <v>584.3966168623266</v>
      </c>
      <c r="M1487" s="5">
        <v>70.437566702241199</v>
      </c>
      <c r="N1487" s="11">
        <v>1795.8457737459978</v>
      </c>
      <c r="O1487" s="13">
        <v>2024</v>
      </c>
    </row>
    <row r="1488" spans="1:15" ht="14.5" customHeight="1" x14ac:dyDescent="0.35">
      <c r="A1488" s="20" t="s">
        <v>2970</v>
      </c>
      <c r="B1488" s="2" t="s">
        <v>2971</v>
      </c>
      <c r="C1488" s="17" t="s">
        <v>3109</v>
      </c>
      <c r="D1488" s="2" t="s">
        <v>53</v>
      </c>
      <c r="E1488" s="15" t="s">
        <v>207</v>
      </c>
      <c r="F1488" t="s">
        <v>208</v>
      </c>
      <c r="G1488" s="2" t="str">
        <f t="shared" si="23"/>
        <v>Medium</v>
      </c>
      <c r="H1488" s="3">
        <v>6818</v>
      </c>
      <c r="I1488" s="4">
        <v>2</v>
      </c>
      <c r="J1488" s="5">
        <v>87948.876063361691</v>
      </c>
      <c r="K1488" s="6">
        <v>9.5338461459208261E-3</v>
      </c>
      <c r="L1488" s="5">
        <v>1076.4774332648869</v>
      </c>
      <c r="M1488" s="5">
        <v>302.17072455265475</v>
      </c>
      <c r="N1488" s="11">
        <v>1960.1165459078909</v>
      </c>
      <c r="O1488" s="13">
        <v>2024</v>
      </c>
    </row>
    <row r="1489" spans="1:15" ht="14.5" customHeight="1" x14ac:dyDescent="0.35">
      <c r="A1489" s="20" t="s">
        <v>2972</v>
      </c>
      <c r="B1489" s="2" t="s">
        <v>2973</v>
      </c>
      <c r="C1489" s="17" t="s">
        <v>3109</v>
      </c>
      <c r="D1489" s="2" t="s">
        <v>220</v>
      </c>
      <c r="E1489" s="15" t="s">
        <v>173</v>
      </c>
      <c r="F1489" t="s">
        <v>170</v>
      </c>
      <c r="G1489" s="2" t="str">
        <f t="shared" si="23"/>
        <v>Medium</v>
      </c>
      <c r="H1489" s="3">
        <v>2885</v>
      </c>
      <c r="I1489" s="4">
        <v>1.5</v>
      </c>
      <c r="J1489" s="5">
        <v>54124.159792027727</v>
      </c>
      <c r="K1489" s="6">
        <v>9.7051582425851969E-3</v>
      </c>
      <c r="L1489" s="5">
        <v>562.30017331022532</v>
      </c>
      <c r="M1489" s="5">
        <v>1602.6263431542461</v>
      </c>
      <c r="N1489" s="11">
        <v>2755.6166377816289</v>
      </c>
      <c r="O1489" s="13">
        <v>2024</v>
      </c>
    </row>
    <row r="1490" spans="1:15" ht="14.5" customHeight="1" x14ac:dyDescent="0.35">
      <c r="A1490" s="20" t="s">
        <v>2974</v>
      </c>
      <c r="B1490" s="2" t="s">
        <v>2975</v>
      </c>
      <c r="C1490" s="17" t="s">
        <v>3109</v>
      </c>
      <c r="D1490" s="2" t="s">
        <v>67</v>
      </c>
      <c r="E1490" s="15" t="s">
        <v>183</v>
      </c>
      <c r="F1490" t="s">
        <v>170</v>
      </c>
      <c r="G1490" s="2" t="str">
        <f t="shared" si="23"/>
        <v>Small</v>
      </c>
      <c r="H1490" s="3">
        <v>573</v>
      </c>
      <c r="I1490" s="4">
        <v>1</v>
      </c>
      <c r="J1490" s="5">
        <v>52259.759162303664</v>
      </c>
      <c r="K1490" s="6">
        <v>4.0710176396990174E-3</v>
      </c>
      <c r="L1490" s="5">
        <v>476.87804537521816</v>
      </c>
      <c r="M1490" s="5">
        <v>24.43280977312391</v>
      </c>
      <c r="N1490" s="11">
        <v>530.28753926701575</v>
      </c>
      <c r="O1490" s="13">
        <v>2024</v>
      </c>
    </row>
    <row r="1491" spans="1:15" ht="14.5" customHeight="1" x14ac:dyDescent="0.35">
      <c r="A1491" s="20" t="s">
        <v>2976</v>
      </c>
      <c r="B1491" s="2" t="s">
        <v>2977</v>
      </c>
      <c r="C1491" s="17" t="s">
        <v>3109</v>
      </c>
      <c r="D1491" s="2" t="s">
        <v>9</v>
      </c>
      <c r="E1491" s="15" t="s">
        <v>207</v>
      </c>
      <c r="F1491" t="s">
        <v>208</v>
      </c>
      <c r="G1491" s="2" t="str">
        <f t="shared" si="23"/>
        <v>Medium</v>
      </c>
      <c r="H1491" s="3">
        <v>6103</v>
      </c>
      <c r="I1491" s="4">
        <v>1.1000000000000001</v>
      </c>
      <c r="J1491" s="5">
        <v>79367.94969687039</v>
      </c>
      <c r="K1491" s="6" t="s">
        <v>27</v>
      </c>
      <c r="L1491" s="5">
        <v>0</v>
      </c>
      <c r="M1491" s="5">
        <v>0</v>
      </c>
      <c r="N1491" s="11">
        <v>0</v>
      </c>
      <c r="O1491" s="13">
        <v>2024</v>
      </c>
    </row>
    <row r="1492" spans="1:15" ht="14.5" customHeight="1" x14ac:dyDescent="0.35">
      <c r="A1492" s="20" t="s">
        <v>2978</v>
      </c>
      <c r="B1492" s="2" t="s">
        <v>2979</v>
      </c>
      <c r="C1492" s="17" t="s">
        <v>3109</v>
      </c>
      <c r="D1492" s="2" t="s">
        <v>231</v>
      </c>
      <c r="E1492" s="15" t="s">
        <v>178</v>
      </c>
      <c r="F1492" t="s">
        <v>170</v>
      </c>
      <c r="G1492" s="2" t="str">
        <f t="shared" si="23"/>
        <v>Medium</v>
      </c>
      <c r="H1492" s="3">
        <v>3646</v>
      </c>
      <c r="I1492" s="4">
        <v>4.0999999999999996</v>
      </c>
      <c r="J1492" s="5">
        <v>47999.202413603947</v>
      </c>
      <c r="K1492" s="6">
        <v>1.2253920588779213E-2</v>
      </c>
      <c r="L1492" s="5">
        <v>627.40351618211741</v>
      </c>
      <c r="M1492" s="5">
        <v>1172.8598464070215</v>
      </c>
      <c r="N1492" s="11">
        <v>1186.7890318156883</v>
      </c>
      <c r="O1492" s="13">
        <v>2024</v>
      </c>
    </row>
    <row r="1493" spans="1:15" ht="14.5" customHeight="1" x14ac:dyDescent="0.35">
      <c r="A1493" s="20" t="s">
        <v>2980</v>
      </c>
      <c r="B1493" s="2" t="s">
        <v>2981</v>
      </c>
      <c r="C1493" s="17" t="s">
        <v>3109</v>
      </c>
      <c r="D1493" s="2" t="s">
        <v>53</v>
      </c>
      <c r="E1493" s="15" t="s">
        <v>207</v>
      </c>
      <c r="F1493" t="s">
        <v>208</v>
      </c>
      <c r="G1493" s="2" t="str">
        <f t="shared" si="23"/>
        <v>Medium</v>
      </c>
      <c r="H1493" s="3">
        <v>6652</v>
      </c>
      <c r="I1493" s="4">
        <v>2.4</v>
      </c>
      <c r="J1493" s="5">
        <v>125527.4836139507</v>
      </c>
      <c r="K1493" s="6">
        <v>4.5839261020213821E-3</v>
      </c>
      <c r="L1493" s="5">
        <v>893.82395670475057</v>
      </c>
      <c r="M1493" s="5">
        <v>0</v>
      </c>
      <c r="N1493" s="11">
        <v>1321.969395670475</v>
      </c>
      <c r="O1493" s="13">
        <v>2024</v>
      </c>
    </row>
    <row r="1494" spans="1:15" ht="14.5" customHeight="1" x14ac:dyDescent="0.35">
      <c r="A1494" s="20" t="s">
        <v>2982</v>
      </c>
      <c r="B1494" s="2" t="s">
        <v>2983</v>
      </c>
      <c r="C1494" s="17" t="s">
        <v>3109</v>
      </c>
      <c r="D1494" s="2" t="s">
        <v>53</v>
      </c>
      <c r="E1494" s="15" t="s">
        <v>207</v>
      </c>
      <c r="F1494" t="s">
        <v>208</v>
      </c>
      <c r="G1494" s="2" t="str">
        <f t="shared" si="23"/>
        <v>Medium</v>
      </c>
      <c r="H1494" s="3">
        <v>5657</v>
      </c>
      <c r="I1494" s="4">
        <v>2.5</v>
      </c>
      <c r="J1494" s="5" t="s">
        <v>27</v>
      </c>
      <c r="K1494" s="6" t="s">
        <v>27</v>
      </c>
      <c r="L1494" s="5">
        <v>946.33798833303877</v>
      </c>
      <c r="M1494" s="5">
        <v>2710.4113487714335</v>
      </c>
      <c r="N1494" s="11">
        <v>1656.0314654410465</v>
      </c>
      <c r="O1494" s="13">
        <v>2024</v>
      </c>
    </row>
    <row r="1495" spans="1:15" ht="14.5" customHeight="1" x14ac:dyDescent="0.35">
      <c r="A1495" s="20" t="s">
        <v>2984</v>
      </c>
      <c r="B1495" s="2" t="s">
        <v>2985</v>
      </c>
      <c r="C1495" s="17" t="s">
        <v>3109</v>
      </c>
      <c r="D1495" s="2" t="s">
        <v>51</v>
      </c>
      <c r="E1495" s="15" t="s">
        <v>217</v>
      </c>
      <c r="F1495" t="s">
        <v>170</v>
      </c>
      <c r="G1495" s="2" t="str">
        <f t="shared" si="23"/>
        <v>Medium</v>
      </c>
      <c r="H1495" s="3">
        <v>2038</v>
      </c>
      <c r="I1495" s="4">
        <v>0.3</v>
      </c>
      <c r="J1495" s="5">
        <v>57177.587831207064</v>
      </c>
      <c r="K1495" s="6" t="s">
        <v>27</v>
      </c>
      <c r="L1495" s="5">
        <v>0</v>
      </c>
      <c r="M1495" s="5">
        <v>0</v>
      </c>
      <c r="N1495" s="11">
        <v>0</v>
      </c>
      <c r="O1495" s="13">
        <v>2024</v>
      </c>
    </row>
    <row r="1496" spans="1:15" ht="14.5" customHeight="1" x14ac:dyDescent="0.35">
      <c r="A1496" s="20" t="s">
        <v>2986</v>
      </c>
      <c r="B1496" s="2" t="s">
        <v>2987</v>
      </c>
      <c r="C1496" s="17" t="s">
        <v>3109</v>
      </c>
      <c r="D1496" s="2" t="s">
        <v>588</v>
      </c>
      <c r="E1496" s="15" t="s">
        <v>178</v>
      </c>
      <c r="F1496" t="s">
        <v>170</v>
      </c>
      <c r="G1496" s="2" t="str">
        <f t="shared" si="23"/>
        <v>Medium</v>
      </c>
      <c r="H1496" s="3">
        <v>4810</v>
      </c>
      <c r="I1496" s="4">
        <v>2.2000000000000002</v>
      </c>
      <c r="J1496" s="5">
        <v>40082.977962577963</v>
      </c>
      <c r="K1496" s="6">
        <v>1.6058235721029518E-2</v>
      </c>
      <c r="L1496" s="5">
        <v>674.53115176715164</v>
      </c>
      <c r="M1496" s="5">
        <v>3090.1580519750519</v>
      </c>
      <c r="N1496" s="11">
        <v>2572.4396923076924</v>
      </c>
      <c r="O1496" s="13">
        <v>2024</v>
      </c>
    </row>
    <row r="1497" spans="1:15" ht="14.5" customHeight="1" x14ac:dyDescent="0.35">
      <c r="A1497" s="20" t="s">
        <v>2988</v>
      </c>
      <c r="B1497" s="2" t="s">
        <v>2989</v>
      </c>
      <c r="C1497" s="17" t="s">
        <v>3109</v>
      </c>
      <c r="D1497" s="2" t="s">
        <v>81</v>
      </c>
      <c r="E1497" s="15" t="s">
        <v>214</v>
      </c>
      <c r="F1497" t="s">
        <v>170</v>
      </c>
      <c r="G1497" s="2" t="str">
        <f t="shared" si="23"/>
        <v>Medium</v>
      </c>
      <c r="H1497" s="3">
        <v>1473</v>
      </c>
      <c r="I1497" s="4">
        <v>1.4</v>
      </c>
      <c r="J1497" s="5">
        <v>49071.026476578409</v>
      </c>
      <c r="K1497" s="6">
        <v>5.6061691587385798E-3</v>
      </c>
      <c r="L1497" s="5">
        <v>507.77936184657165</v>
      </c>
      <c r="M1497" s="5">
        <v>2032.0101832993889</v>
      </c>
      <c r="N1497" s="11">
        <v>1541.3045485403939</v>
      </c>
      <c r="O1497" s="13">
        <v>2024</v>
      </c>
    </row>
    <row r="1498" spans="1:15" ht="14.5" customHeight="1" x14ac:dyDescent="0.35">
      <c r="A1498" s="20" t="s">
        <v>2990</v>
      </c>
      <c r="B1498" s="2" t="s">
        <v>2991</v>
      </c>
      <c r="C1498" s="17" t="s">
        <v>3109</v>
      </c>
      <c r="D1498" s="2" t="s">
        <v>451</v>
      </c>
      <c r="E1498" s="15" t="s">
        <v>173</v>
      </c>
      <c r="F1498" t="s">
        <v>170</v>
      </c>
      <c r="G1498" s="2" t="str">
        <f t="shared" si="23"/>
        <v>Medium</v>
      </c>
      <c r="H1498" s="3">
        <v>1863</v>
      </c>
      <c r="I1498" s="4">
        <v>1.6</v>
      </c>
      <c r="J1498" s="5">
        <v>109682.52334943639</v>
      </c>
      <c r="K1498" s="6">
        <v>7.2656092812172918E-3</v>
      </c>
      <c r="L1498" s="5">
        <v>1040.8582930756843</v>
      </c>
      <c r="M1498" s="5">
        <v>11159.779388083736</v>
      </c>
      <c r="N1498" s="11">
        <v>9729.5228126677393</v>
      </c>
      <c r="O1498" s="13">
        <v>2024</v>
      </c>
    </row>
    <row r="1499" spans="1:15" ht="14.5" customHeight="1" x14ac:dyDescent="0.35">
      <c r="A1499" s="20" t="s">
        <v>2992</v>
      </c>
      <c r="B1499" s="2" t="s">
        <v>2993</v>
      </c>
      <c r="C1499" s="17" t="s">
        <v>3109</v>
      </c>
      <c r="D1499" s="2" t="s">
        <v>292</v>
      </c>
      <c r="E1499" s="15" t="s">
        <v>173</v>
      </c>
      <c r="F1499" t="s">
        <v>170</v>
      </c>
      <c r="G1499" s="2" t="str">
        <f t="shared" si="23"/>
        <v>Medium</v>
      </c>
      <c r="H1499" s="3">
        <v>4373</v>
      </c>
      <c r="I1499" s="4">
        <v>2.2999999999999998</v>
      </c>
      <c r="J1499" s="5">
        <v>44407.911273725134</v>
      </c>
      <c r="K1499" s="6">
        <v>1.1720506040202848E-2</v>
      </c>
      <c r="L1499" s="5">
        <v>702.48136290875834</v>
      </c>
      <c r="M1499" s="5">
        <v>3484.6983764006404</v>
      </c>
      <c r="N1499" s="11">
        <v>2339.828721701349</v>
      </c>
      <c r="O1499" s="13">
        <v>2024</v>
      </c>
    </row>
    <row r="1500" spans="1:15" ht="14.5" customHeight="1" x14ac:dyDescent="0.35">
      <c r="A1500" s="20" t="s">
        <v>2994</v>
      </c>
      <c r="B1500" s="2" t="s">
        <v>2995</v>
      </c>
      <c r="C1500" s="17" t="s">
        <v>3109</v>
      </c>
      <c r="D1500" s="2" t="s">
        <v>18</v>
      </c>
      <c r="E1500" s="15" t="s">
        <v>173</v>
      </c>
      <c r="F1500" t="s">
        <v>170</v>
      </c>
      <c r="G1500" s="2" t="str">
        <f t="shared" si="23"/>
        <v>Medium</v>
      </c>
      <c r="H1500" s="3">
        <v>1680</v>
      </c>
      <c r="I1500" s="4">
        <v>1.1000000000000001</v>
      </c>
      <c r="J1500" s="5">
        <v>39936.597023809525</v>
      </c>
      <c r="K1500" s="6">
        <v>7.9530377041239601E-3</v>
      </c>
      <c r="L1500" s="5">
        <v>460.77797619047618</v>
      </c>
      <c r="M1500" s="5">
        <v>4435.9970238095239</v>
      </c>
      <c r="N1500" s="11">
        <v>2466.861904761905</v>
      </c>
      <c r="O1500" s="13">
        <v>2024</v>
      </c>
    </row>
    <row r="1501" spans="1:15" ht="14.5" customHeight="1" x14ac:dyDescent="0.35">
      <c r="A1501" s="20" t="s">
        <v>2996</v>
      </c>
      <c r="B1501" s="2" t="s">
        <v>2997</v>
      </c>
      <c r="C1501" s="17" t="s">
        <v>3109</v>
      </c>
      <c r="D1501" s="2" t="s">
        <v>79</v>
      </c>
      <c r="E1501" s="15" t="s">
        <v>178</v>
      </c>
      <c r="F1501" t="s">
        <v>170</v>
      </c>
      <c r="G1501" s="2" t="str">
        <f t="shared" si="23"/>
        <v>Medium</v>
      </c>
      <c r="H1501" s="3">
        <v>5651</v>
      </c>
      <c r="I1501" s="4">
        <v>2.2000000000000002</v>
      </c>
      <c r="J1501" s="5">
        <v>69745.421695275174</v>
      </c>
      <c r="K1501" s="6">
        <v>1.4515312201303595E-3</v>
      </c>
      <c r="L1501" s="5">
        <v>553.84657582728721</v>
      </c>
      <c r="M1501" s="5">
        <v>260.97489470890105</v>
      </c>
      <c r="N1501" s="11">
        <v>735.31003362236777</v>
      </c>
      <c r="O1501" s="13">
        <v>2024</v>
      </c>
    </row>
    <row r="1502" spans="1:15" ht="14.5" customHeight="1" x14ac:dyDescent="0.35">
      <c r="A1502" s="20" t="s">
        <v>2998</v>
      </c>
      <c r="B1502" s="2" t="s">
        <v>2999</v>
      </c>
      <c r="C1502" s="17" t="s">
        <v>3109</v>
      </c>
      <c r="D1502" s="2" t="s">
        <v>5</v>
      </c>
      <c r="E1502" s="15" t="s">
        <v>183</v>
      </c>
      <c r="F1502" t="s">
        <v>170</v>
      </c>
      <c r="G1502" s="2" t="str">
        <f t="shared" si="23"/>
        <v>Medium</v>
      </c>
      <c r="H1502" s="3">
        <v>1788</v>
      </c>
      <c r="I1502" s="4">
        <v>1</v>
      </c>
      <c r="J1502" s="5">
        <v>57080.87192393736</v>
      </c>
      <c r="K1502" s="6">
        <v>5.276347045543011E-3</v>
      </c>
      <c r="L1502" s="5">
        <v>544.64562080536916</v>
      </c>
      <c r="M1502" s="5">
        <v>1116.2192393736018</v>
      </c>
      <c r="N1502" s="11">
        <v>1123.2545413870246</v>
      </c>
      <c r="O1502" s="13">
        <v>2024</v>
      </c>
    </row>
    <row r="1503" spans="1:15" ht="14.5" customHeight="1" x14ac:dyDescent="0.35">
      <c r="A1503" s="20" t="s">
        <v>3000</v>
      </c>
      <c r="B1503" s="2" t="s">
        <v>3001</v>
      </c>
      <c r="C1503" s="17" t="s">
        <v>3109</v>
      </c>
      <c r="D1503" s="2" t="s">
        <v>24</v>
      </c>
      <c r="E1503" s="15" t="s">
        <v>173</v>
      </c>
      <c r="F1503" t="s">
        <v>170</v>
      </c>
      <c r="G1503" s="2" t="str">
        <f t="shared" si="23"/>
        <v>Small</v>
      </c>
      <c r="H1503" s="3">
        <v>490</v>
      </c>
      <c r="I1503" s="4">
        <v>0.6</v>
      </c>
      <c r="J1503" s="5">
        <v>44905.832653061225</v>
      </c>
      <c r="K1503" s="6">
        <v>5.1825207197755963E-3</v>
      </c>
      <c r="L1503" s="5">
        <v>412.0924693877551</v>
      </c>
      <c r="M1503" s="5">
        <v>1926.4714285714285</v>
      </c>
      <c r="N1503" s="11">
        <v>1016.8600204081632</v>
      </c>
      <c r="O1503" s="13">
        <v>2024</v>
      </c>
    </row>
    <row r="1504" spans="1:15" ht="14.5" customHeight="1" x14ac:dyDescent="0.35">
      <c r="A1504" s="20" t="s">
        <v>3002</v>
      </c>
      <c r="B1504" s="2" t="s">
        <v>3003</v>
      </c>
      <c r="C1504" s="17" t="s">
        <v>3109</v>
      </c>
      <c r="D1504" s="2" t="s">
        <v>193</v>
      </c>
      <c r="E1504" s="15" t="s">
        <v>186</v>
      </c>
      <c r="F1504" t="s">
        <v>170</v>
      </c>
      <c r="G1504" s="2" t="str">
        <f t="shared" si="23"/>
        <v>Medium</v>
      </c>
      <c r="H1504" s="3">
        <v>4587</v>
      </c>
      <c r="I1504" s="4">
        <v>2.4</v>
      </c>
      <c r="J1504" s="5">
        <v>38310.43383475038</v>
      </c>
      <c r="K1504" s="6">
        <v>1.3249499402378514E-2</v>
      </c>
      <c r="L1504" s="5">
        <v>542.54741661216485</v>
      </c>
      <c r="M1504" s="5">
        <v>4405.8968323522995</v>
      </c>
      <c r="N1504" s="11">
        <v>1994.9147591018095</v>
      </c>
      <c r="O1504" s="13">
        <v>2024</v>
      </c>
    </row>
    <row r="1505" spans="1:15" ht="14.5" customHeight="1" x14ac:dyDescent="0.35">
      <c r="A1505" s="20" t="s">
        <v>3004</v>
      </c>
      <c r="B1505" s="2" t="s">
        <v>3005</v>
      </c>
      <c r="C1505" s="17" t="s">
        <v>3109</v>
      </c>
      <c r="D1505" s="2" t="s">
        <v>513</v>
      </c>
      <c r="E1505" s="15" t="s">
        <v>207</v>
      </c>
      <c r="F1505" t="s">
        <v>208</v>
      </c>
      <c r="G1505" s="2" t="str">
        <f t="shared" si="23"/>
        <v>Medium</v>
      </c>
      <c r="H1505" s="3">
        <v>6116</v>
      </c>
      <c r="I1505" s="4">
        <v>3.4</v>
      </c>
      <c r="J1505" s="5">
        <v>193186.9900261609</v>
      </c>
      <c r="K1505" s="6">
        <v>7.6456945908035532E-4</v>
      </c>
      <c r="L1505" s="5">
        <v>210.08862001308046</v>
      </c>
      <c r="M1505" s="5">
        <v>33.518639633747547</v>
      </c>
      <c r="N1505" s="11">
        <v>410.136690647482</v>
      </c>
      <c r="O1505" s="13">
        <v>2024</v>
      </c>
    </row>
    <row r="1506" spans="1:15" ht="14.5" customHeight="1" x14ac:dyDescent="0.35">
      <c r="A1506" s="20" t="s">
        <v>3006</v>
      </c>
      <c r="B1506" s="2" t="s">
        <v>3007</v>
      </c>
      <c r="C1506" s="17" t="s">
        <v>3109</v>
      </c>
      <c r="D1506" s="2" t="s">
        <v>94</v>
      </c>
      <c r="E1506" s="15" t="s">
        <v>169</v>
      </c>
      <c r="F1506" t="s">
        <v>170</v>
      </c>
      <c r="G1506" s="2" t="str">
        <f t="shared" si="23"/>
        <v>Medium</v>
      </c>
      <c r="H1506" s="3">
        <v>1780</v>
      </c>
      <c r="I1506" s="4">
        <v>1.3</v>
      </c>
      <c r="J1506" s="5">
        <v>55275.769101123595</v>
      </c>
      <c r="K1506" s="6" t="s">
        <v>27</v>
      </c>
      <c r="L1506" s="5">
        <v>0</v>
      </c>
      <c r="M1506" s="5">
        <v>0</v>
      </c>
      <c r="N1506" s="11">
        <v>0</v>
      </c>
      <c r="O1506" s="13">
        <v>2024</v>
      </c>
    </row>
    <row r="1507" spans="1:15" ht="14.5" customHeight="1" x14ac:dyDescent="0.35">
      <c r="A1507" s="20" t="s">
        <v>3008</v>
      </c>
      <c r="B1507" s="2" t="s">
        <v>3009</v>
      </c>
      <c r="C1507" s="17" t="s">
        <v>3109</v>
      </c>
      <c r="D1507" s="2" t="s">
        <v>272</v>
      </c>
      <c r="E1507" s="15" t="s">
        <v>273</v>
      </c>
      <c r="F1507" t="s">
        <v>208</v>
      </c>
      <c r="G1507" s="2" t="str">
        <f t="shared" si="23"/>
        <v>Small</v>
      </c>
      <c r="H1507" s="3">
        <v>126</v>
      </c>
      <c r="I1507" s="4">
        <v>0.3</v>
      </c>
      <c r="J1507" s="5">
        <v>6725518.0714285718</v>
      </c>
      <c r="K1507" s="6">
        <v>2.2753250765385953E-3</v>
      </c>
      <c r="L1507" s="5">
        <v>16513.069047619047</v>
      </c>
      <c r="M1507" s="5">
        <v>6904.7619047619046</v>
      </c>
      <c r="N1507" s="11">
        <v>19045.1573015873</v>
      </c>
      <c r="O1507" s="13">
        <v>2024</v>
      </c>
    </row>
    <row r="1508" spans="1:15" ht="14.5" customHeight="1" x14ac:dyDescent="0.35">
      <c r="A1508" s="20" t="s">
        <v>3010</v>
      </c>
      <c r="B1508" s="2" t="s">
        <v>3011</v>
      </c>
      <c r="C1508" s="17" t="s">
        <v>3109</v>
      </c>
      <c r="D1508" s="2" t="s">
        <v>513</v>
      </c>
      <c r="E1508" s="15" t="s">
        <v>207</v>
      </c>
      <c r="F1508" t="s">
        <v>208</v>
      </c>
      <c r="G1508" s="2" t="str">
        <f t="shared" si="23"/>
        <v>Medium</v>
      </c>
      <c r="H1508" s="3">
        <v>10678</v>
      </c>
      <c r="I1508" s="4">
        <v>1.5</v>
      </c>
      <c r="J1508" s="5">
        <v>85533.179059749018</v>
      </c>
      <c r="K1508" s="6">
        <v>7.8528185035238451E-3</v>
      </c>
      <c r="L1508" s="5">
        <v>737.56302678404199</v>
      </c>
      <c r="M1508" s="5">
        <v>478.08578385465444</v>
      </c>
      <c r="N1508" s="11">
        <v>1043.0280951489042</v>
      </c>
      <c r="O1508" s="13">
        <v>2024</v>
      </c>
    </row>
    <row r="1509" spans="1:15" ht="14.5" customHeight="1" x14ac:dyDescent="0.35">
      <c r="A1509" s="20" t="s">
        <v>3012</v>
      </c>
      <c r="B1509" s="2" t="s">
        <v>3013</v>
      </c>
      <c r="C1509" s="17" t="s">
        <v>3109</v>
      </c>
      <c r="D1509" s="2" t="s">
        <v>46</v>
      </c>
      <c r="E1509" s="15" t="s">
        <v>214</v>
      </c>
      <c r="F1509" t="s">
        <v>170</v>
      </c>
      <c r="G1509" s="2" t="str">
        <f t="shared" ref="G1509:G1527" si="24">IF(H1509&lt;=1000,"Small",IF(H1509&lt;=11000,"Medium",IF(H1509&gt;=11000,"Large")))</f>
        <v>Small</v>
      </c>
      <c r="H1509" s="3">
        <v>733</v>
      </c>
      <c r="I1509" s="4">
        <v>0.9</v>
      </c>
      <c r="J1509" s="5">
        <v>52291.603001364259</v>
      </c>
      <c r="K1509" s="6">
        <v>8.5278002762606414E-3</v>
      </c>
      <c r="L1509" s="5">
        <v>590.71848567530697</v>
      </c>
      <c r="M1509" s="5">
        <v>298.3701773533424</v>
      </c>
      <c r="N1509" s="11">
        <v>1529.0432469304228</v>
      </c>
      <c r="O1509" s="13">
        <v>2024</v>
      </c>
    </row>
    <row r="1510" spans="1:15" ht="14.5" customHeight="1" x14ac:dyDescent="0.35">
      <c r="A1510" s="20" t="s">
        <v>3014</v>
      </c>
      <c r="B1510" s="2" t="s">
        <v>3015</v>
      </c>
      <c r="C1510" s="17" t="s">
        <v>3109</v>
      </c>
      <c r="D1510" s="2" t="s">
        <v>30</v>
      </c>
      <c r="E1510" s="15" t="s">
        <v>273</v>
      </c>
      <c r="F1510" t="s">
        <v>208</v>
      </c>
      <c r="G1510" s="2" t="str">
        <f t="shared" si="24"/>
        <v>Large</v>
      </c>
      <c r="H1510" s="3">
        <v>15864</v>
      </c>
      <c r="I1510" s="4">
        <v>2.4</v>
      </c>
      <c r="J1510" s="5">
        <v>186005.94503277863</v>
      </c>
      <c r="K1510" s="6">
        <v>2.1405322669169262E-3</v>
      </c>
      <c r="L1510" s="5">
        <v>444.80351739788199</v>
      </c>
      <c r="M1510" s="5">
        <v>400.05931669188101</v>
      </c>
      <c r="N1510" s="11">
        <v>793.833459404942</v>
      </c>
      <c r="O1510" s="13">
        <v>2024</v>
      </c>
    </row>
    <row r="1511" spans="1:15" ht="14.5" customHeight="1" x14ac:dyDescent="0.35">
      <c r="A1511" s="20" t="s">
        <v>3016</v>
      </c>
      <c r="B1511" s="2" t="s">
        <v>3017</v>
      </c>
      <c r="C1511" s="17" t="s">
        <v>3109</v>
      </c>
      <c r="D1511" s="2" t="s">
        <v>22</v>
      </c>
      <c r="E1511" s="15" t="s">
        <v>186</v>
      </c>
      <c r="F1511" t="s">
        <v>170</v>
      </c>
      <c r="G1511" s="2" t="str">
        <f t="shared" si="24"/>
        <v>Medium</v>
      </c>
      <c r="H1511" s="3">
        <v>2910</v>
      </c>
      <c r="I1511" s="4">
        <v>3.8</v>
      </c>
      <c r="J1511" s="5">
        <v>68084.390721649484</v>
      </c>
      <c r="K1511" s="6">
        <v>8.1937376515501589E-3</v>
      </c>
      <c r="L1511" s="5">
        <v>827.76597938144334</v>
      </c>
      <c r="M1511" s="5">
        <v>2746.3264604810997</v>
      </c>
      <c r="N1511" s="11">
        <v>3465.4233676975946</v>
      </c>
      <c r="O1511" s="13">
        <v>2024</v>
      </c>
    </row>
    <row r="1512" spans="1:15" ht="14.5" customHeight="1" x14ac:dyDescent="0.35">
      <c r="A1512" s="20" t="s">
        <v>3018</v>
      </c>
      <c r="B1512" s="2" t="s">
        <v>3019</v>
      </c>
      <c r="C1512" s="17" t="s">
        <v>3109</v>
      </c>
      <c r="D1512" s="2" t="s">
        <v>272</v>
      </c>
      <c r="E1512" s="15" t="s">
        <v>273</v>
      </c>
      <c r="F1512" t="s">
        <v>208</v>
      </c>
      <c r="G1512" s="2" t="str">
        <f t="shared" si="24"/>
        <v>Medium</v>
      </c>
      <c r="H1512" s="3">
        <v>2150</v>
      </c>
      <c r="I1512" s="4">
        <v>2.9</v>
      </c>
      <c r="J1512" s="5">
        <v>1974481.2595348838</v>
      </c>
      <c r="K1512" s="6">
        <v>2.2791500542413408E-3</v>
      </c>
      <c r="L1512" s="5">
        <v>4684.2497674418601</v>
      </c>
      <c r="M1512" s="5">
        <v>4626.9795348837206</v>
      </c>
      <c r="N1512" s="11">
        <v>7902.9227906976748</v>
      </c>
      <c r="O1512" s="13">
        <v>2024</v>
      </c>
    </row>
    <row r="1513" spans="1:15" ht="14.5" customHeight="1" x14ac:dyDescent="0.35">
      <c r="A1513" s="20" t="s">
        <v>3020</v>
      </c>
      <c r="B1513" s="2" t="s">
        <v>3021</v>
      </c>
      <c r="C1513" s="17" t="s">
        <v>3109</v>
      </c>
      <c r="D1513" s="2" t="s">
        <v>237</v>
      </c>
      <c r="E1513" s="15" t="s">
        <v>217</v>
      </c>
      <c r="F1513" t="s">
        <v>170</v>
      </c>
      <c r="G1513" s="2" t="str">
        <f t="shared" si="24"/>
        <v>Medium</v>
      </c>
      <c r="H1513" s="3">
        <v>2465</v>
      </c>
      <c r="I1513" s="4">
        <v>4.7</v>
      </c>
      <c r="J1513" s="5">
        <v>38751.599188640976</v>
      </c>
      <c r="K1513" s="6">
        <v>1.8336064795996324E-2</v>
      </c>
      <c r="L1513" s="5">
        <v>758.88346855983775</v>
      </c>
      <c r="M1513" s="5">
        <v>3009.3539391480731</v>
      </c>
      <c r="N1513" s="11">
        <v>1714.4484178498985</v>
      </c>
      <c r="O1513" s="13">
        <v>2024</v>
      </c>
    </row>
    <row r="1514" spans="1:15" ht="14.5" customHeight="1" x14ac:dyDescent="0.35">
      <c r="A1514" s="20" t="s">
        <v>3022</v>
      </c>
      <c r="B1514" s="2" t="s">
        <v>3023</v>
      </c>
      <c r="C1514" s="17" t="s">
        <v>3109</v>
      </c>
      <c r="D1514" s="2" t="s">
        <v>81</v>
      </c>
      <c r="E1514" s="15" t="s">
        <v>214</v>
      </c>
      <c r="F1514" t="s">
        <v>170</v>
      </c>
      <c r="G1514" s="2" t="str">
        <f t="shared" si="24"/>
        <v>Medium</v>
      </c>
      <c r="H1514" s="3">
        <v>3612</v>
      </c>
      <c r="I1514" s="4">
        <v>1.1000000000000001</v>
      </c>
      <c r="J1514" s="5">
        <v>51080.90891472868</v>
      </c>
      <c r="K1514" s="6">
        <v>7.3721831968926602E-3</v>
      </c>
      <c r="L1514" s="5">
        <v>629.00662790697675</v>
      </c>
      <c r="M1514" s="5">
        <v>96.899224806201545</v>
      </c>
      <c r="N1514" s="11">
        <v>954.11250553709863</v>
      </c>
      <c r="O1514" s="13">
        <v>2024</v>
      </c>
    </row>
    <row r="1515" spans="1:15" ht="14.5" customHeight="1" x14ac:dyDescent="0.35">
      <c r="A1515" s="20" t="s">
        <v>3024</v>
      </c>
      <c r="B1515" s="2" t="s">
        <v>3025</v>
      </c>
      <c r="C1515" s="17" t="s">
        <v>3109</v>
      </c>
      <c r="D1515" s="2" t="s">
        <v>11</v>
      </c>
      <c r="E1515" s="15" t="s">
        <v>173</v>
      </c>
      <c r="F1515" t="s">
        <v>170</v>
      </c>
      <c r="G1515" s="2" t="str">
        <f t="shared" si="24"/>
        <v>Small</v>
      </c>
      <c r="H1515" s="3">
        <v>960</v>
      </c>
      <c r="I1515" s="4">
        <v>1</v>
      </c>
      <c r="J1515" s="5">
        <v>49334.675000000003</v>
      </c>
      <c r="K1515" s="6">
        <v>1.6309269080688853E-2</v>
      </c>
      <c r="L1515" s="5">
        <v>1168.2066145833335</v>
      </c>
      <c r="M1515" s="5">
        <v>4060.0604166666667</v>
      </c>
      <c r="N1515" s="11">
        <v>1723.4722291666667</v>
      </c>
      <c r="O1515" s="13">
        <v>2024</v>
      </c>
    </row>
    <row r="1516" spans="1:15" ht="14.5" customHeight="1" x14ac:dyDescent="0.35">
      <c r="A1516" s="20" t="s">
        <v>3026</v>
      </c>
      <c r="B1516" s="2" t="s">
        <v>3027</v>
      </c>
      <c r="C1516" s="17" t="s">
        <v>3109</v>
      </c>
      <c r="D1516" s="2" t="s">
        <v>13</v>
      </c>
      <c r="E1516" s="15" t="s">
        <v>186</v>
      </c>
      <c r="F1516" t="s">
        <v>170</v>
      </c>
      <c r="G1516" s="2" t="str">
        <f t="shared" si="24"/>
        <v>Medium</v>
      </c>
      <c r="H1516" s="3">
        <v>5423</v>
      </c>
      <c r="I1516" s="4">
        <v>1.3</v>
      </c>
      <c r="J1516" s="5">
        <v>120389.10750507099</v>
      </c>
      <c r="K1516" s="6">
        <v>3.6698462525770635E-3</v>
      </c>
      <c r="L1516" s="5">
        <v>690.92236769315878</v>
      </c>
      <c r="M1516" s="5">
        <v>612.20726535128154</v>
      </c>
      <c r="N1516" s="11">
        <v>1186.5045177945788</v>
      </c>
      <c r="O1516" s="13">
        <v>2024</v>
      </c>
    </row>
    <row r="1517" spans="1:15" ht="14.5" customHeight="1" x14ac:dyDescent="0.35">
      <c r="A1517" s="20" t="s">
        <v>3028</v>
      </c>
      <c r="B1517" s="2" t="s">
        <v>3029</v>
      </c>
      <c r="C1517" s="17" t="s">
        <v>3109</v>
      </c>
      <c r="D1517" s="2" t="s">
        <v>30</v>
      </c>
      <c r="E1517" s="15" t="s">
        <v>273</v>
      </c>
      <c r="F1517" t="s">
        <v>208</v>
      </c>
      <c r="G1517" s="2" t="str">
        <f t="shared" si="24"/>
        <v>Medium</v>
      </c>
      <c r="H1517" s="3">
        <v>7591</v>
      </c>
      <c r="I1517" s="4">
        <v>0.6</v>
      </c>
      <c r="J1517" s="5">
        <v>220009.42115663286</v>
      </c>
      <c r="K1517" s="6">
        <v>3.3227460572286386E-3</v>
      </c>
      <c r="L1517" s="5">
        <v>771.94216835726513</v>
      </c>
      <c r="M1517" s="5">
        <v>1401.6598603609539</v>
      </c>
      <c r="N1517" s="11">
        <v>1642.9354498748519</v>
      </c>
      <c r="O1517" s="13">
        <v>2024</v>
      </c>
    </row>
    <row r="1518" spans="1:15" ht="14.5" customHeight="1" x14ac:dyDescent="0.35">
      <c r="A1518" s="20" t="s">
        <v>3030</v>
      </c>
      <c r="B1518" s="2" t="s">
        <v>3031</v>
      </c>
      <c r="C1518" s="17" t="s">
        <v>3109</v>
      </c>
      <c r="D1518" s="2" t="s">
        <v>48</v>
      </c>
      <c r="E1518" s="15" t="s">
        <v>186</v>
      </c>
      <c r="F1518" t="s">
        <v>170</v>
      </c>
      <c r="G1518" s="2" t="str">
        <f t="shared" si="24"/>
        <v>Medium</v>
      </c>
      <c r="H1518" s="3">
        <v>1247</v>
      </c>
      <c r="I1518" s="4">
        <v>0.8</v>
      </c>
      <c r="J1518" s="5">
        <v>64074.259823576584</v>
      </c>
      <c r="K1518" s="6">
        <v>5.1592260844292512E-3</v>
      </c>
      <c r="L1518" s="5">
        <v>679.52856455493179</v>
      </c>
      <c r="M1518" s="5">
        <v>974.3384121892542</v>
      </c>
      <c r="N1518" s="11">
        <v>1126.7791980753809</v>
      </c>
      <c r="O1518" s="13">
        <v>2024</v>
      </c>
    </row>
    <row r="1519" spans="1:15" ht="14.5" customHeight="1" x14ac:dyDescent="0.35">
      <c r="A1519" s="20" t="s">
        <v>3032</v>
      </c>
      <c r="B1519" s="2" t="s">
        <v>3033</v>
      </c>
      <c r="C1519" s="17" t="s">
        <v>3109</v>
      </c>
      <c r="D1519" s="2" t="s">
        <v>11</v>
      </c>
      <c r="E1519" s="15" t="s">
        <v>173</v>
      </c>
      <c r="F1519" t="s">
        <v>170</v>
      </c>
      <c r="G1519" s="2" t="str">
        <f t="shared" si="24"/>
        <v>Small</v>
      </c>
      <c r="H1519" s="3">
        <v>907</v>
      </c>
      <c r="I1519" s="4">
        <v>1.1000000000000001</v>
      </c>
      <c r="J1519" s="5">
        <v>43333.980154355013</v>
      </c>
      <c r="K1519" s="6">
        <v>7.7233428624931058E-3</v>
      </c>
      <c r="L1519" s="5">
        <v>705.14911797133402</v>
      </c>
      <c r="M1519" s="5">
        <v>0</v>
      </c>
      <c r="N1519" s="11">
        <v>985.70926130099235</v>
      </c>
      <c r="O1519" s="13">
        <v>2024</v>
      </c>
    </row>
    <row r="1520" spans="1:15" ht="14.5" customHeight="1" x14ac:dyDescent="0.35">
      <c r="A1520" s="20" t="s">
        <v>3034</v>
      </c>
      <c r="B1520" s="2" t="s">
        <v>3035</v>
      </c>
      <c r="C1520" s="17" t="s">
        <v>3109</v>
      </c>
      <c r="D1520" s="2" t="s">
        <v>234</v>
      </c>
      <c r="E1520" s="15" t="s">
        <v>178</v>
      </c>
      <c r="F1520" t="s">
        <v>170</v>
      </c>
      <c r="G1520" s="2" t="str">
        <f t="shared" si="24"/>
        <v>Medium</v>
      </c>
      <c r="H1520" s="3">
        <v>1556</v>
      </c>
      <c r="I1520" s="4">
        <v>2</v>
      </c>
      <c r="J1520" s="5">
        <v>41701.001285347047</v>
      </c>
      <c r="K1520" s="6">
        <v>1.0130491494119646E-2</v>
      </c>
      <c r="L1520" s="5">
        <v>536.46125964010298</v>
      </c>
      <c r="M1520" s="5">
        <v>759.51156812339332</v>
      </c>
      <c r="N1520" s="11">
        <v>1402.7152249357327</v>
      </c>
      <c r="O1520" s="13">
        <v>2024</v>
      </c>
    </row>
    <row r="1521" spans="1:15" ht="14.5" customHeight="1" x14ac:dyDescent="0.35">
      <c r="A1521" s="20" t="s">
        <v>3036</v>
      </c>
      <c r="B1521" s="2" t="s">
        <v>3037</v>
      </c>
      <c r="C1521" s="17" t="s">
        <v>3109</v>
      </c>
      <c r="D1521" s="2" t="s">
        <v>53</v>
      </c>
      <c r="E1521" s="15" t="s">
        <v>207</v>
      </c>
      <c r="F1521" t="s">
        <v>208</v>
      </c>
      <c r="G1521" s="2" t="str">
        <f t="shared" si="24"/>
        <v>Large</v>
      </c>
      <c r="H1521" s="3">
        <v>11526</v>
      </c>
      <c r="I1521" s="4">
        <v>35.6</v>
      </c>
      <c r="J1521" s="5">
        <v>197237.57027589798</v>
      </c>
      <c r="K1521" s="6">
        <v>2.0269049000938471E-3</v>
      </c>
      <c r="L1521" s="5">
        <v>853.56588755856319</v>
      </c>
      <c r="M1521" s="5">
        <v>256.37688703800103</v>
      </c>
      <c r="N1521" s="11">
        <v>1089.6067430157905</v>
      </c>
      <c r="O1521" s="13">
        <v>2024</v>
      </c>
    </row>
    <row r="1522" spans="1:15" ht="14.5" customHeight="1" x14ac:dyDescent="0.35">
      <c r="A1522" s="20" t="s">
        <v>3038</v>
      </c>
      <c r="B1522" s="2" t="s">
        <v>3039</v>
      </c>
      <c r="C1522" s="17" t="s">
        <v>3109</v>
      </c>
      <c r="D1522" s="2" t="s">
        <v>324</v>
      </c>
      <c r="E1522" s="15" t="s">
        <v>207</v>
      </c>
      <c r="F1522" t="s">
        <v>208</v>
      </c>
      <c r="G1522" s="2" t="str">
        <f t="shared" si="24"/>
        <v>Small</v>
      </c>
      <c r="H1522" s="3">
        <v>747</v>
      </c>
      <c r="I1522" s="4">
        <v>1.6</v>
      </c>
      <c r="J1522" s="5">
        <v>180761.78982597054</v>
      </c>
      <c r="K1522" s="6">
        <v>7.9909541247851577E-3</v>
      </c>
      <c r="L1522" s="5">
        <v>2228.3815261044178</v>
      </c>
      <c r="M1522" s="5">
        <v>14367.469879518072</v>
      </c>
      <c r="N1522" s="11">
        <v>5441.8942436412317</v>
      </c>
      <c r="O1522" s="13">
        <v>2024</v>
      </c>
    </row>
    <row r="1523" spans="1:15" ht="14.5" customHeight="1" x14ac:dyDescent="0.35">
      <c r="A1523" s="20" t="s">
        <v>3040</v>
      </c>
      <c r="B1523" s="2" t="s">
        <v>3041</v>
      </c>
      <c r="C1523" s="17" t="s">
        <v>3109</v>
      </c>
      <c r="D1523" s="2" t="s">
        <v>30</v>
      </c>
      <c r="E1523" s="15" t="s">
        <v>273</v>
      </c>
      <c r="F1523" t="s">
        <v>208</v>
      </c>
      <c r="G1523" s="2" t="str">
        <f t="shared" si="24"/>
        <v>Small</v>
      </c>
      <c r="H1523" s="3">
        <v>897</v>
      </c>
      <c r="I1523" s="4">
        <v>0.3</v>
      </c>
      <c r="J1523" s="5">
        <v>282759.52508361207</v>
      </c>
      <c r="K1523" s="6">
        <v>2.1239670217189882E-3</v>
      </c>
      <c r="L1523" s="5">
        <v>648.14046822742478</v>
      </c>
      <c r="M1523" s="5">
        <v>0</v>
      </c>
      <c r="N1523" s="11">
        <v>836.39241917502784</v>
      </c>
      <c r="O1523" s="13">
        <v>2024</v>
      </c>
    </row>
    <row r="1524" spans="1:15" ht="14.5" customHeight="1" x14ac:dyDescent="0.35">
      <c r="A1524" s="20" t="s">
        <v>3042</v>
      </c>
      <c r="B1524" s="2" t="s">
        <v>3043</v>
      </c>
      <c r="C1524" s="17" t="s">
        <v>3109</v>
      </c>
      <c r="D1524" s="2" t="s">
        <v>324</v>
      </c>
      <c r="E1524" s="15" t="s">
        <v>207</v>
      </c>
      <c r="F1524" t="s">
        <v>208</v>
      </c>
      <c r="G1524" s="2" t="str">
        <f t="shared" si="24"/>
        <v>Medium</v>
      </c>
      <c r="H1524" s="3">
        <v>1124</v>
      </c>
      <c r="I1524" s="4">
        <v>1.3</v>
      </c>
      <c r="J1524" s="5">
        <v>86798.465302491109</v>
      </c>
      <c r="K1524" s="6">
        <v>5.569062993358802E-3</v>
      </c>
      <c r="L1524" s="5">
        <v>529.54092526690397</v>
      </c>
      <c r="M1524" s="5">
        <v>888.70106761565842</v>
      </c>
      <c r="N1524" s="11">
        <v>896.97419928825627</v>
      </c>
      <c r="O1524" s="13">
        <v>2024</v>
      </c>
    </row>
    <row r="1525" spans="1:15" ht="14.5" customHeight="1" x14ac:dyDescent="0.35">
      <c r="A1525" s="20" t="s">
        <v>3044</v>
      </c>
      <c r="B1525" s="2" t="s">
        <v>3045</v>
      </c>
      <c r="C1525" s="17" t="s">
        <v>3109</v>
      </c>
      <c r="D1525" s="2" t="s">
        <v>231</v>
      </c>
      <c r="E1525" s="15" t="s">
        <v>178</v>
      </c>
      <c r="F1525" t="s">
        <v>170</v>
      </c>
      <c r="G1525" s="2" t="str">
        <f t="shared" si="24"/>
        <v>Small</v>
      </c>
      <c r="H1525" s="3">
        <v>377</v>
      </c>
      <c r="I1525" s="4">
        <v>0.7</v>
      </c>
      <c r="J1525" s="5">
        <v>52491.225464190982</v>
      </c>
      <c r="K1525" s="6">
        <v>6.9159973787712003E-3</v>
      </c>
      <c r="L1525" s="5">
        <v>366.11936339522549</v>
      </c>
      <c r="M1525" s="5">
        <v>3766.5782493368702</v>
      </c>
      <c r="N1525" s="11">
        <v>793.37400530503976</v>
      </c>
      <c r="O1525" s="13">
        <v>2024</v>
      </c>
    </row>
    <row r="1526" spans="1:15" ht="14.5" customHeight="1" x14ac:dyDescent="0.35">
      <c r="A1526" s="20" t="s">
        <v>3046</v>
      </c>
      <c r="B1526" s="2" t="s">
        <v>3047</v>
      </c>
      <c r="C1526" s="17" t="s">
        <v>3109</v>
      </c>
      <c r="D1526" s="2" t="s">
        <v>81</v>
      </c>
      <c r="E1526" s="15" t="s">
        <v>214</v>
      </c>
      <c r="F1526" t="s">
        <v>170</v>
      </c>
      <c r="G1526" s="2" t="str">
        <f t="shared" si="24"/>
        <v>Medium</v>
      </c>
      <c r="H1526" s="3">
        <v>2657</v>
      </c>
      <c r="I1526" s="4">
        <v>0.7</v>
      </c>
      <c r="J1526" s="5">
        <v>59362.928114414754</v>
      </c>
      <c r="K1526" s="6">
        <v>6.7235665607665888E-3</v>
      </c>
      <c r="L1526" s="5">
        <v>676.76294316898759</v>
      </c>
      <c r="M1526" s="5">
        <v>927.33458788106884</v>
      </c>
      <c r="N1526" s="11">
        <v>965.42890101618366</v>
      </c>
      <c r="O1526" s="13">
        <v>2024</v>
      </c>
    </row>
    <row r="1527" spans="1:15" ht="14.5" customHeight="1" x14ac:dyDescent="0.35">
      <c r="A1527" s="20" t="s">
        <v>3048</v>
      </c>
      <c r="B1527" s="2" t="s">
        <v>3049</v>
      </c>
      <c r="C1527" s="17" t="s">
        <v>3109</v>
      </c>
      <c r="D1527" s="2" t="s">
        <v>48</v>
      </c>
      <c r="E1527" s="15" t="s">
        <v>186</v>
      </c>
      <c r="F1527" t="s">
        <v>170</v>
      </c>
      <c r="G1527" s="2" t="str">
        <f t="shared" si="24"/>
        <v>Medium</v>
      </c>
      <c r="H1527" s="3">
        <v>1859</v>
      </c>
      <c r="I1527" s="4">
        <v>1.1000000000000001</v>
      </c>
      <c r="J1527" s="5">
        <v>86251.89187735341</v>
      </c>
      <c r="K1527" s="6">
        <v>4.6997589225802831E-3</v>
      </c>
      <c r="L1527" s="5">
        <v>734.78389456697153</v>
      </c>
      <c r="M1527" s="5">
        <v>0</v>
      </c>
      <c r="N1527" s="11">
        <v>1599.7177461000538</v>
      </c>
      <c r="O1527" s="13">
        <v>2024</v>
      </c>
    </row>
    <row r="1528" spans="1:15" ht="14.5" customHeight="1" x14ac:dyDescent="0.35">
      <c r="A1528" s="20" t="s">
        <v>3050</v>
      </c>
      <c r="B1528" s="2" t="s">
        <v>1</v>
      </c>
      <c r="C1528" s="17" t="s">
        <v>156</v>
      </c>
      <c r="D1528" s="16" t="s">
        <v>1</v>
      </c>
      <c r="E1528" s="15" t="s">
        <v>217</v>
      </c>
      <c r="F1528" s="15" t="s">
        <v>170</v>
      </c>
      <c r="G1528" s="2" t="str">
        <f>IF(H1528&lt;=100000,"Small",IF(H1528&lt;=900000,"Medium",IF(H1528&gt;900000, "Large")))</f>
        <v>Medium</v>
      </c>
      <c r="H1528" s="3">
        <v>314848</v>
      </c>
      <c r="I1528" s="4">
        <v>522.79999999999995</v>
      </c>
      <c r="J1528" s="5">
        <v>111612.91676618559</v>
      </c>
      <c r="K1528" s="6">
        <v>2.7381168931391751E-3</v>
      </c>
      <c r="L1528" s="5">
        <v>1561.626515810804</v>
      </c>
      <c r="M1528" s="5">
        <v>726.57282244130499</v>
      </c>
      <c r="N1528" s="11">
        <v>2666.9192480180914</v>
      </c>
      <c r="O1528" s="18">
        <v>2024</v>
      </c>
    </row>
    <row r="1529" spans="1:15" ht="14.5" customHeight="1" x14ac:dyDescent="0.35">
      <c r="A1529" s="20" t="s">
        <v>3051</v>
      </c>
      <c r="B1529" s="2" t="s">
        <v>193</v>
      </c>
      <c r="C1529" s="17" t="s">
        <v>156</v>
      </c>
      <c r="D1529" s="16" t="s">
        <v>193</v>
      </c>
      <c r="E1529" s="15" t="s">
        <v>186</v>
      </c>
      <c r="F1529" s="15" t="s">
        <v>170</v>
      </c>
      <c r="G1529" s="2" t="str">
        <f t="shared" ref="G1529:G1584" si="25">IF(H1529&lt;=100000,"Small",IF(H1529&lt;=900000,"Medium",IF(H1529&gt;900000, "Large")))</f>
        <v>Small</v>
      </c>
      <c r="H1529" s="3">
        <v>46456</v>
      </c>
      <c r="I1529" s="4">
        <v>1029.3</v>
      </c>
      <c r="J1529" s="5">
        <v>62209.472188737731</v>
      </c>
      <c r="K1529" s="6">
        <v>1.0012217494953396E-2</v>
      </c>
      <c r="L1529" s="5">
        <v>1300.5215472705356</v>
      </c>
      <c r="M1529" s="5">
        <v>296.30187704494574</v>
      </c>
      <c r="N1529" s="11">
        <v>2938.5247330807647</v>
      </c>
      <c r="O1529" s="18">
        <v>2024</v>
      </c>
    </row>
    <row r="1530" spans="1:15" ht="14.5" customHeight="1" x14ac:dyDescent="0.35">
      <c r="A1530" s="20" t="s">
        <v>3052</v>
      </c>
      <c r="B1530" s="2" t="s">
        <v>11</v>
      </c>
      <c r="C1530" s="17" t="s">
        <v>156</v>
      </c>
      <c r="D1530" s="16" t="s">
        <v>11</v>
      </c>
      <c r="E1530" s="15" t="s">
        <v>173</v>
      </c>
      <c r="F1530" s="15" t="s">
        <v>170</v>
      </c>
      <c r="G1530" s="2" t="str">
        <f t="shared" si="25"/>
        <v>Medium</v>
      </c>
      <c r="H1530" s="3">
        <v>198683</v>
      </c>
      <c r="I1530" s="4">
        <v>705.8</v>
      </c>
      <c r="J1530" s="5">
        <v>62899.419955406353</v>
      </c>
      <c r="K1530" s="6">
        <v>5.5241509882145174E-3</v>
      </c>
      <c r="L1530" s="5">
        <v>1341.4921206142449</v>
      </c>
      <c r="M1530" s="5">
        <v>949.61388241570739</v>
      </c>
      <c r="N1530" s="11">
        <v>3184.8334583230571</v>
      </c>
      <c r="O1530" s="18">
        <v>2024</v>
      </c>
    </row>
    <row r="1531" spans="1:15" ht="14.5" customHeight="1" x14ac:dyDescent="0.35">
      <c r="A1531" s="20" t="s">
        <v>3053</v>
      </c>
      <c r="B1531" s="2" t="s">
        <v>65</v>
      </c>
      <c r="C1531" s="17" t="s">
        <v>156</v>
      </c>
      <c r="D1531" s="16" t="s">
        <v>65</v>
      </c>
      <c r="E1531" s="15" t="s">
        <v>186</v>
      </c>
      <c r="F1531" s="15" t="s">
        <v>170</v>
      </c>
      <c r="G1531" s="2" t="str">
        <f t="shared" si="25"/>
        <v>Small</v>
      </c>
      <c r="H1531" s="3">
        <v>77042</v>
      </c>
      <c r="I1531" s="4">
        <v>1308.4000000000001</v>
      </c>
      <c r="J1531" s="5">
        <v>83581.422198281463</v>
      </c>
      <c r="K1531" s="6">
        <v>8.6746954031977751E-3</v>
      </c>
      <c r="L1531" s="5">
        <v>1461.5933516783055</v>
      </c>
      <c r="M1531" s="5">
        <v>619.59538822979675</v>
      </c>
      <c r="N1531" s="11">
        <v>3870.9052464889282</v>
      </c>
      <c r="O1531" s="18">
        <v>2024</v>
      </c>
    </row>
    <row r="1532" spans="1:15" ht="14.5" customHeight="1" x14ac:dyDescent="0.35">
      <c r="A1532" s="20" t="s">
        <v>3054</v>
      </c>
      <c r="B1532" s="2" t="s">
        <v>5</v>
      </c>
      <c r="C1532" s="17" t="s">
        <v>156</v>
      </c>
      <c r="D1532" s="16" t="s">
        <v>5</v>
      </c>
      <c r="E1532" s="15" t="s">
        <v>183</v>
      </c>
      <c r="F1532" s="15" t="s">
        <v>170</v>
      </c>
      <c r="G1532" s="2" t="str">
        <f t="shared" si="25"/>
        <v>Small</v>
      </c>
      <c r="H1532" s="3">
        <v>76248</v>
      </c>
      <c r="I1532" s="4">
        <v>691.6</v>
      </c>
      <c r="J1532" s="5">
        <v>87761.849320637921</v>
      </c>
      <c r="K1532" s="6">
        <v>6.4173358760125357E-3</v>
      </c>
      <c r="L1532" s="5">
        <v>1397.3211494071975</v>
      </c>
      <c r="M1532" s="5">
        <v>575.9485940614835</v>
      </c>
      <c r="N1532" s="11">
        <v>2932.4416837162944</v>
      </c>
      <c r="O1532" s="18">
        <v>2024</v>
      </c>
    </row>
    <row r="1533" spans="1:15" ht="14.5" customHeight="1" x14ac:dyDescent="0.35">
      <c r="A1533" s="20" t="s">
        <v>3055</v>
      </c>
      <c r="B1533" s="2" t="s">
        <v>22</v>
      </c>
      <c r="C1533" s="17" t="s">
        <v>156</v>
      </c>
      <c r="D1533" s="16" t="s">
        <v>22</v>
      </c>
      <c r="E1533" s="15" t="s">
        <v>186</v>
      </c>
      <c r="F1533" s="15" t="s">
        <v>170</v>
      </c>
      <c r="G1533" s="2" t="str">
        <f t="shared" si="25"/>
        <v>Medium</v>
      </c>
      <c r="H1533" s="3">
        <v>127657</v>
      </c>
      <c r="I1533" s="4">
        <v>1060.2</v>
      </c>
      <c r="J1533" s="5">
        <v>81045.1820581715</v>
      </c>
      <c r="K1533" s="6">
        <v>6.7984344215554432E-3</v>
      </c>
      <c r="L1533" s="5">
        <v>1340.0137148765832</v>
      </c>
      <c r="M1533" s="5">
        <v>516.18584817127146</v>
      </c>
      <c r="N1533" s="11">
        <v>2827.15937817746</v>
      </c>
      <c r="O1533" s="18">
        <v>2024</v>
      </c>
    </row>
    <row r="1534" spans="1:15" ht="14.5" customHeight="1" x14ac:dyDescent="0.35">
      <c r="A1534" s="20" t="s">
        <v>3056</v>
      </c>
      <c r="B1534" s="2" t="s">
        <v>24</v>
      </c>
      <c r="C1534" s="17" t="s">
        <v>156</v>
      </c>
      <c r="D1534" s="16" t="s">
        <v>24</v>
      </c>
      <c r="E1534" s="15" t="s">
        <v>173</v>
      </c>
      <c r="F1534" s="15" t="s">
        <v>170</v>
      </c>
      <c r="G1534" s="2" t="str">
        <f t="shared" si="25"/>
        <v>Small</v>
      </c>
      <c r="H1534" s="3">
        <v>84148</v>
      </c>
      <c r="I1534" s="4">
        <v>407.4</v>
      </c>
      <c r="J1534" s="5">
        <v>66367.793601749305</v>
      </c>
      <c r="K1534" s="6">
        <v>5.0809438530599466E-3</v>
      </c>
      <c r="L1534" s="5">
        <v>1269.8939606407757</v>
      </c>
      <c r="M1534" s="5">
        <v>1886.3093478157532</v>
      </c>
      <c r="N1534" s="11">
        <v>4347.1641987926032</v>
      </c>
      <c r="O1534" s="18">
        <v>2024</v>
      </c>
    </row>
    <row r="1535" spans="1:15" ht="14.5" customHeight="1" x14ac:dyDescent="0.35">
      <c r="A1535" s="20" t="s">
        <v>3057</v>
      </c>
      <c r="B1535" s="2" t="s">
        <v>61</v>
      </c>
      <c r="C1535" s="17" t="s">
        <v>156</v>
      </c>
      <c r="D1535" s="16" t="s">
        <v>61</v>
      </c>
      <c r="E1535" s="15" t="s">
        <v>173</v>
      </c>
      <c r="F1535" s="15" t="s">
        <v>170</v>
      </c>
      <c r="G1535" s="2" t="str">
        <f t="shared" si="25"/>
        <v>Small</v>
      </c>
      <c r="H1535" s="3">
        <v>47220</v>
      </c>
      <c r="I1535" s="4">
        <v>893.6</v>
      </c>
      <c r="J1535" s="5">
        <v>69932.049682337994</v>
      </c>
      <c r="K1535" s="6">
        <v>8.9463277189955094E-3</v>
      </c>
      <c r="L1535" s="5">
        <v>1350.515682549767</v>
      </c>
      <c r="M1535" s="5">
        <v>0</v>
      </c>
      <c r="N1535" s="11">
        <v>2838.9958744176197</v>
      </c>
      <c r="O1535" s="18">
        <v>2024</v>
      </c>
    </row>
    <row r="1536" spans="1:15" ht="14.5" customHeight="1" x14ac:dyDescent="0.35">
      <c r="A1536" s="20" t="s">
        <v>3058</v>
      </c>
      <c r="B1536" s="2" t="s">
        <v>73</v>
      </c>
      <c r="C1536" s="17" t="s">
        <v>156</v>
      </c>
      <c r="D1536" s="16" t="s">
        <v>73</v>
      </c>
      <c r="E1536" s="15" t="s">
        <v>169</v>
      </c>
      <c r="F1536" s="15" t="s">
        <v>170</v>
      </c>
      <c r="G1536" s="2" t="str">
        <f t="shared" si="25"/>
        <v>Small</v>
      </c>
      <c r="H1536" s="3">
        <v>79843</v>
      </c>
      <c r="I1536" s="4">
        <v>1037.9000000000001</v>
      </c>
      <c r="J1536" s="5">
        <v>86716.182220106959</v>
      </c>
      <c r="K1536" s="6">
        <v>2.9446691061083604E-3</v>
      </c>
      <c r="L1536" s="5">
        <v>1349.9843818493794</v>
      </c>
      <c r="M1536" s="5">
        <v>542.26042358127825</v>
      </c>
      <c r="N1536" s="11">
        <v>2688.5565304409906</v>
      </c>
      <c r="O1536" s="18">
        <v>2024</v>
      </c>
    </row>
    <row r="1537" spans="1:15" ht="14.5" customHeight="1" x14ac:dyDescent="0.35">
      <c r="A1537" s="20" t="s">
        <v>3059</v>
      </c>
      <c r="B1537" s="2" t="s">
        <v>37</v>
      </c>
      <c r="C1537" s="17" t="s">
        <v>156</v>
      </c>
      <c r="D1537" s="16" t="s">
        <v>37</v>
      </c>
      <c r="E1537" s="15" t="s">
        <v>217</v>
      </c>
      <c r="F1537" s="15" t="s">
        <v>170</v>
      </c>
      <c r="G1537" s="2" t="str">
        <f t="shared" si="25"/>
        <v>Small</v>
      </c>
      <c r="H1537" s="3">
        <v>61570</v>
      </c>
      <c r="I1537" s="4">
        <v>634.70000000000005</v>
      </c>
      <c r="J1537" s="5">
        <v>211989.53121650155</v>
      </c>
      <c r="K1537" s="6">
        <v>3.4138948665820533E-3</v>
      </c>
      <c r="L1537" s="5">
        <v>1752.6817443560176</v>
      </c>
      <c r="M1537" s="5">
        <v>748.49764495695956</v>
      </c>
      <c r="N1537" s="11">
        <v>3017.7215689459154</v>
      </c>
      <c r="O1537" s="18">
        <v>2024</v>
      </c>
    </row>
    <row r="1538" spans="1:15" ht="14.5" customHeight="1" x14ac:dyDescent="0.35">
      <c r="A1538" s="20" t="s">
        <v>3060</v>
      </c>
      <c r="B1538" s="2" t="s">
        <v>20</v>
      </c>
      <c r="C1538" s="17" t="s">
        <v>156</v>
      </c>
      <c r="D1538" s="16" t="s">
        <v>20</v>
      </c>
      <c r="E1538" s="15" t="s">
        <v>183</v>
      </c>
      <c r="F1538" s="15" t="s">
        <v>170</v>
      </c>
      <c r="G1538" s="2" t="str">
        <f t="shared" si="25"/>
        <v>Small</v>
      </c>
      <c r="H1538" s="3">
        <v>46809</v>
      </c>
      <c r="I1538" s="4">
        <v>498.8</v>
      </c>
      <c r="J1538" s="5">
        <v>73291.794889871613</v>
      </c>
      <c r="K1538" s="6">
        <v>1.0845942376325088E-2</v>
      </c>
      <c r="L1538" s="5">
        <v>1691.7946335106496</v>
      </c>
      <c r="M1538" s="5">
        <v>408.36163985558335</v>
      </c>
      <c r="N1538" s="11">
        <v>3426.36777115512</v>
      </c>
      <c r="O1538" s="18">
        <v>2024</v>
      </c>
    </row>
    <row r="1539" spans="1:15" ht="14.5" customHeight="1" x14ac:dyDescent="0.35">
      <c r="A1539" s="20" t="s">
        <v>3061</v>
      </c>
      <c r="B1539" s="2" t="s">
        <v>220</v>
      </c>
      <c r="C1539" s="17" t="s">
        <v>156</v>
      </c>
      <c r="D1539" s="16" t="s">
        <v>220</v>
      </c>
      <c r="E1539" s="15" t="s">
        <v>173</v>
      </c>
      <c r="F1539" s="15" t="s">
        <v>170</v>
      </c>
      <c r="G1539" s="2" t="str">
        <f t="shared" si="25"/>
        <v>Small</v>
      </c>
      <c r="H1539" s="3">
        <v>44308</v>
      </c>
      <c r="I1539" s="4">
        <v>1442.4</v>
      </c>
      <c r="J1539" s="5">
        <v>189531.91805091631</v>
      </c>
      <c r="K1539" s="6">
        <v>3.8360164051566381E-3</v>
      </c>
      <c r="L1539" s="5">
        <v>1499.2211304956215</v>
      </c>
      <c r="M1539" s="5">
        <v>78.653967680779999</v>
      </c>
      <c r="N1539" s="11">
        <v>2800.9249031777558</v>
      </c>
      <c r="O1539" s="18">
        <v>2024</v>
      </c>
    </row>
    <row r="1540" spans="1:15" ht="14.5" customHeight="1" x14ac:dyDescent="0.35">
      <c r="A1540" s="20" t="s">
        <v>3062</v>
      </c>
      <c r="B1540" s="2" t="s">
        <v>9</v>
      </c>
      <c r="C1540" s="17" t="s">
        <v>156</v>
      </c>
      <c r="D1540" s="16" t="s">
        <v>9</v>
      </c>
      <c r="E1540" s="15" t="s">
        <v>207</v>
      </c>
      <c r="F1540" s="15" t="s">
        <v>208</v>
      </c>
      <c r="G1540" s="2" t="str">
        <f t="shared" si="25"/>
        <v>Medium</v>
      </c>
      <c r="H1540" s="3">
        <v>295911</v>
      </c>
      <c r="I1540" s="4">
        <v>795.6</v>
      </c>
      <c r="J1540" s="5">
        <v>150800.44433292444</v>
      </c>
      <c r="K1540" s="6">
        <v>2.1425920548080249E-3</v>
      </c>
      <c r="L1540" s="5">
        <v>1269.671409275086</v>
      </c>
      <c r="M1540" s="5">
        <v>1037.1699598865875</v>
      </c>
      <c r="N1540" s="11">
        <v>2238.8069852759786</v>
      </c>
      <c r="O1540" s="18">
        <v>2024</v>
      </c>
    </row>
    <row r="1541" spans="1:15" ht="14.5" customHeight="1" x14ac:dyDescent="0.35">
      <c r="A1541" s="20" t="s">
        <v>3063</v>
      </c>
      <c r="B1541" s="2" t="s">
        <v>13</v>
      </c>
      <c r="C1541" s="17" t="s">
        <v>156</v>
      </c>
      <c r="D1541" s="16" t="s">
        <v>13</v>
      </c>
      <c r="E1541" s="15" t="s">
        <v>186</v>
      </c>
      <c r="F1541" s="15" t="s">
        <v>170</v>
      </c>
      <c r="G1541" s="2" t="str">
        <f t="shared" si="25"/>
        <v>Large</v>
      </c>
      <c r="H1541" s="3">
        <v>954236</v>
      </c>
      <c r="I1541" s="4">
        <v>1042.7</v>
      </c>
      <c r="J1541" s="5">
        <v>101618.78530677945</v>
      </c>
      <c r="K1541" s="6">
        <v>3.3520457002940247E-3</v>
      </c>
      <c r="L1541" s="5">
        <v>1486.2848188498442</v>
      </c>
      <c r="M1541" s="5">
        <v>571.68071210895414</v>
      </c>
      <c r="N1541" s="11">
        <v>2517.971792334391</v>
      </c>
      <c r="O1541" s="18">
        <v>2024</v>
      </c>
    </row>
    <row r="1542" spans="1:15" ht="14.5" customHeight="1" x14ac:dyDescent="0.35">
      <c r="A1542" s="20" t="s">
        <v>3064</v>
      </c>
      <c r="B1542" s="2" t="s">
        <v>496</v>
      </c>
      <c r="C1542" s="17" t="s">
        <v>156</v>
      </c>
      <c r="D1542" s="16" t="s">
        <v>496</v>
      </c>
      <c r="E1542" s="15" t="s">
        <v>169</v>
      </c>
      <c r="F1542" s="15" t="s">
        <v>170</v>
      </c>
      <c r="G1542" s="2" t="str">
        <f t="shared" si="25"/>
        <v>Small</v>
      </c>
      <c r="H1542" s="3">
        <v>37381</v>
      </c>
      <c r="I1542" s="4">
        <v>1794.2</v>
      </c>
      <c r="J1542" s="5">
        <v>259960.12091704342</v>
      </c>
      <c r="K1542" s="6">
        <v>2.4907056983698708E-3</v>
      </c>
      <c r="L1542" s="5">
        <v>2049.5736440972687</v>
      </c>
      <c r="M1542" s="5">
        <v>190.73861052406303</v>
      </c>
      <c r="N1542" s="11">
        <v>3594.0454575854042</v>
      </c>
      <c r="O1542" s="18">
        <v>2024</v>
      </c>
    </row>
    <row r="1543" spans="1:15" ht="14.5" customHeight="1" x14ac:dyDescent="0.35">
      <c r="A1543" s="20" t="s">
        <v>3065</v>
      </c>
      <c r="B1543" s="2" t="s">
        <v>282</v>
      </c>
      <c r="C1543" s="17" t="s">
        <v>156</v>
      </c>
      <c r="D1543" s="16" t="s">
        <v>282</v>
      </c>
      <c r="E1543" s="15" t="s">
        <v>169</v>
      </c>
      <c r="F1543" s="15" t="s">
        <v>170</v>
      </c>
      <c r="G1543" s="2" t="str">
        <f t="shared" si="25"/>
        <v>Small</v>
      </c>
      <c r="H1543" s="3">
        <v>47555</v>
      </c>
      <c r="I1543" s="4">
        <v>1629.1</v>
      </c>
      <c r="J1543" s="5">
        <v>109899.09042161707</v>
      </c>
      <c r="K1543" s="6">
        <v>3.3210534714735096E-3</v>
      </c>
      <c r="L1543" s="5">
        <v>1153.1966537693199</v>
      </c>
      <c r="M1543" s="5">
        <v>4.610854168857113</v>
      </c>
      <c r="N1543" s="11">
        <v>2672.0625868993793</v>
      </c>
      <c r="O1543" s="18">
        <v>2024</v>
      </c>
    </row>
    <row r="1544" spans="1:15" ht="14.5" customHeight="1" x14ac:dyDescent="0.35">
      <c r="A1544" s="20" t="s">
        <v>3066</v>
      </c>
      <c r="B1544" s="2" t="s">
        <v>34</v>
      </c>
      <c r="C1544" s="17" t="s">
        <v>156</v>
      </c>
      <c r="D1544" s="16" t="s">
        <v>34</v>
      </c>
      <c r="E1544" s="15" t="s">
        <v>214</v>
      </c>
      <c r="F1544" s="15" t="s">
        <v>170</v>
      </c>
      <c r="G1544" s="2" t="str">
        <f t="shared" si="25"/>
        <v>Small</v>
      </c>
      <c r="H1544" s="3">
        <v>53324</v>
      </c>
      <c r="I1544" s="4">
        <v>495.5</v>
      </c>
      <c r="J1544" s="5">
        <v>96151.589565673989</v>
      </c>
      <c r="K1544" s="6">
        <v>4.9232747348155132E-3</v>
      </c>
      <c r="L1544" s="5">
        <v>1069.9404958367713</v>
      </c>
      <c r="M1544" s="5">
        <v>10.055716000300052</v>
      </c>
      <c r="N1544" s="11">
        <v>2287.3981321731303</v>
      </c>
      <c r="O1544" s="18">
        <v>2024</v>
      </c>
    </row>
    <row r="1545" spans="1:15" ht="14.5" customHeight="1" x14ac:dyDescent="0.35">
      <c r="A1545" s="20" t="s">
        <v>3067</v>
      </c>
      <c r="B1545" s="2" t="s">
        <v>7</v>
      </c>
      <c r="C1545" s="17" t="s">
        <v>156</v>
      </c>
      <c r="D1545" s="16" t="s">
        <v>7</v>
      </c>
      <c r="E1545" s="15" t="s">
        <v>178</v>
      </c>
      <c r="F1545" s="15" t="s">
        <v>170</v>
      </c>
      <c r="G1545" s="2" t="str">
        <f t="shared" si="25"/>
        <v>Small</v>
      </c>
      <c r="H1545" s="3">
        <v>58388</v>
      </c>
      <c r="I1545" s="4">
        <v>492.9</v>
      </c>
      <c r="J1545" s="5">
        <v>69395.948157155581</v>
      </c>
      <c r="K1545" s="6">
        <v>8.019765348942276E-3</v>
      </c>
      <c r="L1545" s="5">
        <v>1553.4209084058368</v>
      </c>
      <c r="M1545" s="5">
        <v>1414.3752455984106</v>
      </c>
      <c r="N1545" s="11">
        <v>3105.8196547235734</v>
      </c>
      <c r="O1545" s="18">
        <v>2024</v>
      </c>
    </row>
    <row r="1546" spans="1:15" ht="14.5" customHeight="1" x14ac:dyDescent="0.35">
      <c r="A1546" s="20" t="s">
        <v>3068</v>
      </c>
      <c r="B1546" s="2" t="s">
        <v>248</v>
      </c>
      <c r="C1546" s="17" t="s">
        <v>156</v>
      </c>
      <c r="D1546" s="16" t="s">
        <v>248</v>
      </c>
      <c r="E1546" s="15" t="s">
        <v>217</v>
      </c>
      <c r="F1546" s="15" t="s">
        <v>170</v>
      </c>
      <c r="G1546" s="2" t="str">
        <f t="shared" si="25"/>
        <v>Small</v>
      </c>
      <c r="H1546" s="3">
        <v>47931</v>
      </c>
      <c r="I1546" s="4">
        <v>647.20000000000005</v>
      </c>
      <c r="J1546" s="5">
        <v>210016.54004715112</v>
      </c>
      <c r="K1546" s="6">
        <v>2.5926112186153995E-3</v>
      </c>
      <c r="L1546" s="5">
        <v>1658.1212223821744</v>
      </c>
      <c r="M1546" s="5">
        <v>1195.2598527049299</v>
      </c>
      <c r="N1546" s="11">
        <v>2945.9869393503163</v>
      </c>
      <c r="O1546" s="18">
        <v>2024</v>
      </c>
    </row>
    <row r="1547" spans="1:15" ht="14.5" customHeight="1" x14ac:dyDescent="0.35">
      <c r="A1547" s="20" t="s">
        <v>3069</v>
      </c>
      <c r="B1547" s="2" t="s">
        <v>240</v>
      </c>
      <c r="C1547" s="17" t="s">
        <v>156</v>
      </c>
      <c r="D1547" s="16" t="s">
        <v>240</v>
      </c>
      <c r="E1547" s="15" t="s">
        <v>214</v>
      </c>
      <c r="F1547" s="15" t="s">
        <v>170</v>
      </c>
      <c r="G1547" s="2" t="str">
        <f t="shared" si="25"/>
        <v>Small</v>
      </c>
      <c r="H1547" s="3">
        <v>5107</v>
      </c>
      <c r="I1547" s="4">
        <v>1717.4</v>
      </c>
      <c r="J1547" s="5">
        <v>890501.7587624829</v>
      </c>
      <c r="K1547" s="6">
        <v>2.0580353714565111E-3</v>
      </c>
      <c r="L1547" s="5">
        <v>2941.7939651458782</v>
      </c>
      <c r="M1547" s="5">
        <v>0</v>
      </c>
      <c r="N1547" s="11">
        <v>4870.8400313295479</v>
      </c>
      <c r="O1547" s="18">
        <v>2024</v>
      </c>
    </row>
    <row r="1548" spans="1:15" ht="14.5" customHeight="1" x14ac:dyDescent="0.35">
      <c r="A1548" s="20" t="s">
        <v>3070</v>
      </c>
      <c r="B1548" s="2" t="s">
        <v>46</v>
      </c>
      <c r="C1548" s="17" t="s">
        <v>156</v>
      </c>
      <c r="D1548" s="16" t="s">
        <v>46</v>
      </c>
      <c r="E1548" s="15" t="s">
        <v>214</v>
      </c>
      <c r="F1548" s="15" t="s">
        <v>170</v>
      </c>
      <c r="G1548" s="2" t="str">
        <f t="shared" si="25"/>
        <v>Small</v>
      </c>
      <c r="H1548" s="3">
        <v>60139</v>
      </c>
      <c r="I1548" s="4">
        <v>1411.5</v>
      </c>
      <c r="J1548" s="5">
        <v>113785.76609188713</v>
      </c>
      <c r="K1548" s="6">
        <v>3.8158422166362327E-3</v>
      </c>
      <c r="L1548" s="5">
        <v>1248.01316949068</v>
      </c>
      <c r="M1548" s="5">
        <v>208.67417150268545</v>
      </c>
      <c r="N1548" s="11">
        <v>2216.3830958279987</v>
      </c>
      <c r="O1548" s="18">
        <v>2024</v>
      </c>
    </row>
    <row r="1549" spans="1:15" ht="14.5" customHeight="1" x14ac:dyDescent="0.35">
      <c r="A1549" s="20" t="s">
        <v>3071</v>
      </c>
      <c r="B1549" s="2" t="s">
        <v>94</v>
      </c>
      <c r="C1549" s="17" t="s">
        <v>156</v>
      </c>
      <c r="D1549" s="16" t="s">
        <v>94</v>
      </c>
      <c r="E1549" s="15" t="s">
        <v>169</v>
      </c>
      <c r="F1549" s="15" t="s">
        <v>170</v>
      </c>
      <c r="G1549" s="2" t="str">
        <f t="shared" si="25"/>
        <v>Medium</v>
      </c>
      <c r="H1549" s="3">
        <v>116721</v>
      </c>
      <c r="I1549" s="4">
        <v>1268.5999999999999</v>
      </c>
      <c r="J1549" s="5">
        <v>89024.59051927246</v>
      </c>
      <c r="K1549" s="6">
        <v>6.062693307722215E-3</v>
      </c>
      <c r="L1549" s="5">
        <v>1461.8781624557705</v>
      </c>
      <c r="M1549" s="5">
        <v>127.92464081013699</v>
      </c>
      <c r="N1549" s="11">
        <v>2523.6622287334753</v>
      </c>
      <c r="O1549" s="18">
        <v>2024</v>
      </c>
    </row>
    <row r="1550" spans="1:15" ht="14.5" customHeight="1" x14ac:dyDescent="0.35">
      <c r="A1550" s="20" t="s">
        <v>3072</v>
      </c>
      <c r="B1550" s="2" t="s">
        <v>597</v>
      </c>
      <c r="C1550" s="17" t="s">
        <v>156</v>
      </c>
      <c r="D1550" s="16" t="s">
        <v>597</v>
      </c>
      <c r="E1550" s="15" t="s">
        <v>169</v>
      </c>
      <c r="F1550" s="15" t="s">
        <v>170</v>
      </c>
      <c r="G1550" s="2" t="str">
        <f t="shared" si="25"/>
        <v>Small</v>
      </c>
      <c r="H1550" s="3">
        <v>26582</v>
      </c>
      <c r="I1550" s="4">
        <v>1274.7</v>
      </c>
      <c r="J1550" s="5">
        <v>108063.16435934091</v>
      </c>
      <c r="K1550" s="6">
        <v>6.1899498433793682E-3</v>
      </c>
      <c r="L1550" s="5">
        <v>1468.5204081709426</v>
      </c>
      <c r="M1550" s="5">
        <v>2003.9876608231134</v>
      </c>
      <c r="N1550" s="11">
        <v>8130.9938499736672</v>
      </c>
      <c r="O1550" s="18">
        <v>2024</v>
      </c>
    </row>
    <row r="1551" spans="1:15" ht="14.5" customHeight="1" x14ac:dyDescent="0.35">
      <c r="A1551" s="20" t="s">
        <v>3073</v>
      </c>
      <c r="B1551" s="2" t="s">
        <v>269</v>
      </c>
      <c r="C1551" s="17" t="s">
        <v>156</v>
      </c>
      <c r="D1551" s="16" t="s">
        <v>269</v>
      </c>
      <c r="E1551" s="15" t="s">
        <v>178</v>
      </c>
      <c r="F1551" s="15" t="s">
        <v>170</v>
      </c>
      <c r="G1551" s="2" t="str">
        <f t="shared" si="25"/>
        <v>Small</v>
      </c>
      <c r="H1551" s="3">
        <v>61834</v>
      </c>
      <c r="I1551" s="4">
        <v>631.79999999999995</v>
      </c>
      <c r="J1551" s="5">
        <v>79355.370775625066</v>
      </c>
      <c r="K1551" s="6">
        <v>6.4802494920217129E-3</v>
      </c>
      <c r="L1551" s="5">
        <v>1334.938124656338</v>
      </c>
      <c r="M1551" s="5">
        <v>531.74355095901933</v>
      </c>
      <c r="N1551" s="11">
        <v>3265.496579228256</v>
      </c>
      <c r="O1551" s="18">
        <v>2024</v>
      </c>
    </row>
    <row r="1552" spans="1:15" ht="14.5" customHeight="1" x14ac:dyDescent="0.35">
      <c r="A1552" s="20" t="s">
        <v>3074</v>
      </c>
      <c r="B1552" s="2" t="s">
        <v>67</v>
      </c>
      <c r="C1552" s="17" t="s">
        <v>156</v>
      </c>
      <c r="D1552" s="16" t="s">
        <v>67</v>
      </c>
      <c r="E1552" s="15" t="s">
        <v>183</v>
      </c>
      <c r="F1552" s="15" t="s">
        <v>170</v>
      </c>
      <c r="G1552" s="2" t="str">
        <f t="shared" si="25"/>
        <v>Small</v>
      </c>
      <c r="H1552" s="3">
        <v>68016</v>
      </c>
      <c r="I1552" s="4">
        <v>654.79999999999995</v>
      </c>
      <c r="J1552" s="5">
        <v>87058.980489884736</v>
      </c>
      <c r="K1552" s="6">
        <v>7.955818425339406E-3</v>
      </c>
      <c r="L1552" s="5">
        <v>1366.9386173841449</v>
      </c>
      <c r="M1552" s="5">
        <v>624.46174429545988</v>
      </c>
      <c r="N1552" s="11">
        <v>2562.3882027758173</v>
      </c>
      <c r="O1552" s="18">
        <v>2024</v>
      </c>
    </row>
    <row r="1553" spans="1:15" ht="14.5" customHeight="1" x14ac:dyDescent="0.35">
      <c r="A1553" s="20" t="s">
        <v>3075</v>
      </c>
      <c r="B1553" s="2" t="s">
        <v>79</v>
      </c>
      <c r="C1553" s="17" t="s">
        <v>156</v>
      </c>
      <c r="D1553" s="16" t="s">
        <v>79</v>
      </c>
      <c r="E1553" s="15" t="s">
        <v>178</v>
      </c>
      <c r="F1553" s="15" t="s">
        <v>170</v>
      </c>
      <c r="G1553" s="2" t="str">
        <f t="shared" si="25"/>
        <v>Medium</v>
      </c>
      <c r="H1553" s="3">
        <v>759443</v>
      </c>
      <c r="I1553" s="4">
        <v>657.2</v>
      </c>
      <c r="J1553" s="5">
        <v>85220.119546825765</v>
      </c>
      <c r="K1553" s="6">
        <v>6.0785009709691772E-3</v>
      </c>
      <c r="L1553" s="5">
        <v>1509.3085099869243</v>
      </c>
      <c r="M1553" s="5">
        <v>849.95560430473381</v>
      </c>
      <c r="N1553" s="11">
        <v>2896.5089640302172</v>
      </c>
      <c r="O1553" s="18">
        <v>2024</v>
      </c>
    </row>
    <row r="1554" spans="1:15" ht="14.5" customHeight="1" x14ac:dyDescent="0.35">
      <c r="A1554" s="20" t="s">
        <v>3076</v>
      </c>
      <c r="B1554" s="2" t="s">
        <v>3</v>
      </c>
      <c r="C1554" s="17" t="s">
        <v>156</v>
      </c>
      <c r="D1554" s="16" t="s">
        <v>3</v>
      </c>
      <c r="E1554" s="15" t="s">
        <v>214</v>
      </c>
      <c r="F1554" s="15" t="s">
        <v>170</v>
      </c>
      <c r="G1554" s="2" t="str">
        <f t="shared" si="25"/>
        <v>Small</v>
      </c>
      <c r="H1554" s="3">
        <v>49532</v>
      </c>
      <c r="I1554" s="4">
        <v>403</v>
      </c>
      <c r="J1554" s="5">
        <v>70845.684789630948</v>
      </c>
      <c r="K1554" s="6">
        <v>8.6808394323303964E-3</v>
      </c>
      <c r="L1554" s="5">
        <v>1648.2548318258903</v>
      </c>
      <c r="M1554" s="5">
        <v>735.03997415812</v>
      </c>
      <c r="N1554" s="11">
        <v>3134.8421967616891</v>
      </c>
      <c r="O1554" s="18">
        <v>2024</v>
      </c>
    </row>
    <row r="1555" spans="1:15" ht="14.5" customHeight="1" x14ac:dyDescent="0.35">
      <c r="A1555" s="20" t="s">
        <v>3077</v>
      </c>
      <c r="B1555" s="2" t="s">
        <v>30</v>
      </c>
      <c r="C1555" s="17" t="s">
        <v>156</v>
      </c>
      <c r="D1555" s="16" t="s">
        <v>30</v>
      </c>
      <c r="E1555" s="15" t="s">
        <v>273</v>
      </c>
      <c r="F1555" s="15" t="s">
        <v>208</v>
      </c>
      <c r="G1555" s="2" t="str">
        <f t="shared" si="25"/>
        <v>Large</v>
      </c>
      <c r="H1555" s="3">
        <v>1395774</v>
      </c>
      <c r="I1555" s="4">
        <v>284.7</v>
      </c>
      <c r="J1555" s="5">
        <v>212605.00156687258</v>
      </c>
      <c r="K1555" s="6">
        <v>3.2068532535406606E-3</v>
      </c>
      <c r="L1555" s="5">
        <v>1905.9811975291129</v>
      </c>
      <c r="M1555" s="5">
        <v>2668.6570766184209</v>
      </c>
      <c r="N1555" s="11">
        <v>3183.5863112509619</v>
      </c>
      <c r="O1555" s="18">
        <v>2024</v>
      </c>
    </row>
    <row r="1556" spans="1:15" ht="14.5" customHeight="1" x14ac:dyDescent="0.35">
      <c r="A1556" s="20" t="s">
        <v>3078</v>
      </c>
      <c r="B1556" s="2" t="s">
        <v>48</v>
      </c>
      <c r="C1556" s="17" t="s">
        <v>156</v>
      </c>
      <c r="D1556" s="16" t="s">
        <v>48</v>
      </c>
      <c r="E1556" s="15" t="s">
        <v>186</v>
      </c>
      <c r="F1556" s="15" t="s">
        <v>170</v>
      </c>
      <c r="G1556" s="2" t="str">
        <f t="shared" si="25"/>
        <v>Medium</v>
      </c>
      <c r="H1556" s="3">
        <v>212666</v>
      </c>
      <c r="I1556" s="4">
        <v>522.4</v>
      </c>
      <c r="J1556" s="5">
        <v>84879.60651914269</v>
      </c>
      <c r="K1556" s="6">
        <v>5.6190750671940379E-3</v>
      </c>
      <c r="L1556" s="5">
        <v>1301.4059040937432</v>
      </c>
      <c r="M1556" s="5">
        <v>252.71673422173737</v>
      </c>
      <c r="N1556" s="11">
        <v>2407.8293756406761</v>
      </c>
      <c r="O1556" s="18">
        <v>2024</v>
      </c>
    </row>
    <row r="1557" spans="1:15" ht="14.5" customHeight="1" x14ac:dyDescent="0.35">
      <c r="A1557" s="20" t="s">
        <v>3079</v>
      </c>
      <c r="B1557" s="2" t="s">
        <v>81</v>
      </c>
      <c r="C1557" s="17" t="s">
        <v>156</v>
      </c>
      <c r="D1557" s="16" t="s">
        <v>81</v>
      </c>
      <c r="E1557" s="15" t="s">
        <v>214</v>
      </c>
      <c r="F1557" s="15" t="s">
        <v>170</v>
      </c>
      <c r="G1557" s="2" t="str">
        <f t="shared" si="25"/>
        <v>Medium</v>
      </c>
      <c r="H1557" s="3">
        <v>232125</v>
      </c>
      <c r="I1557" s="4">
        <v>1212.4000000000001</v>
      </c>
      <c r="J1557" s="5">
        <v>71093.565260096933</v>
      </c>
      <c r="K1557" s="6">
        <v>4.0461849430201303E-3</v>
      </c>
      <c r="L1557" s="5">
        <v>1180.0309905438883</v>
      </c>
      <c r="M1557" s="5">
        <v>2048.8961304900376</v>
      </c>
      <c r="N1557" s="11">
        <v>2582.1042046742054</v>
      </c>
      <c r="O1557" s="18">
        <v>2024</v>
      </c>
    </row>
    <row r="1558" spans="1:15" ht="14.5" customHeight="1" x14ac:dyDescent="0.35">
      <c r="A1558" s="20" t="s">
        <v>3080</v>
      </c>
      <c r="B1558" s="2" t="s">
        <v>89</v>
      </c>
      <c r="C1558" s="17" t="s">
        <v>156</v>
      </c>
      <c r="D1558" s="16" t="s">
        <v>89</v>
      </c>
      <c r="E1558" s="15" t="s">
        <v>183</v>
      </c>
      <c r="F1558" s="15" t="s">
        <v>170</v>
      </c>
      <c r="G1558" s="2" t="str">
        <f t="shared" si="25"/>
        <v>Medium</v>
      </c>
      <c r="H1558" s="3">
        <v>476516</v>
      </c>
      <c r="I1558" s="4">
        <v>778.4</v>
      </c>
      <c r="J1558" s="5">
        <v>84327.576801198695</v>
      </c>
      <c r="K1558" s="6">
        <v>3.6213656296131941E-3</v>
      </c>
      <c r="L1558" s="5">
        <v>1403.3665879005111</v>
      </c>
      <c r="M1558" s="5">
        <v>1566.0929738560719</v>
      </c>
      <c r="N1558" s="11">
        <v>3104.6115743437786</v>
      </c>
      <c r="O1558" s="18">
        <v>2024</v>
      </c>
    </row>
    <row r="1559" spans="1:15" ht="14.5" customHeight="1" x14ac:dyDescent="0.35">
      <c r="A1559" s="20" t="s">
        <v>3081</v>
      </c>
      <c r="B1559" s="2" t="s">
        <v>15</v>
      </c>
      <c r="C1559" s="17" t="s">
        <v>156</v>
      </c>
      <c r="D1559" s="16" t="s">
        <v>15</v>
      </c>
      <c r="E1559" s="15" t="s">
        <v>178</v>
      </c>
      <c r="F1559" s="15" t="s">
        <v>170</v>
      </c>
      <c r="G1559" s="2" t="str">
        <f t="shared" si="25"/>
        <v>Medium</v>
      </c>
      <c r="H1559" s="3">
        <v>112458</v>
      </c>
      <c r="I1559" s="4">
        <v>644.1</v>
      </c>
      <c r="J1559" s="5">
        <v>120036.96772128261</v>
      </c>
      <c r="K1559" s="6">
        <v>6.0047299458553718E-3</v>
      </c>
      <c r="L1559" s="5">
        <v>1792.4096861939568</v>
      </c>
      <c r="M1559" s="5">
        <v>148.10646641412794</v>
      </c>
      <c r="N1559" s="11">
        <v>2586.3540070070608</v>
      </c>
      <c r="O1559" s="18">
        <v>2024</v>
      </c>
    </row>
    <row r="1560" spans="1:15" ht="14.5" customHeight="1" x14ac:dyDescent="0.35">
      <c r="A1560" s="20" t="s">
        <v>3082</v>
      </c>
      <c r="B1560" s="2" t="s">
        <v>53</v>
      </c>
      <c r="C1560" s="17" t="s">
        <v>156</v>
      </c>
      <c r="D1560" s="16" t="s">
        <v>53</v>
      </c>
      <c r="E1560" s="15" t="s">
        <v>207</v>
      </c>
      <c r="F1560" s="15" t="s">
        <v>208</v>
      </c>
      <c r="G1560" s="2" t="str">
        <f t="shared" si="25"/>
        <v>Medium</v>
      </c>
      <c r="H1560" s="3">
        <v>401310</v>
      </c>
      <c r="I1560" s="4">
        <v>811.7</v>
      </c>
      <c r="J1560" s="5">
        <v>132554.02518501907</v>
      </c>
      <c r="K1560" s="6">
        <v>2.2419617313810866E-3</v>
      </c>
      <c r="L1560" s="5">
        <v>1326.2715245072388</v>
      </c>
      <c r="M1560" s="5">
        <v>523.5354214946052</v>
      </c>
      <c r="N1560" s="11">
        <v>2753.7317993321872</v>
      </c>
      <c r="O1560" s="18">
        <v>2024</v>
      </c>
    </row>
    <row r="1561" spans="1:15" ht="14.5" customHeight="1" x14ac:dyDescent="0.35">
      <c r="A1561" s="20" t="s">
        <v>3083</v>
      </c>
      <c r="B1561" s="2" t="s">
        <v>181</v>
      </c>
      <c r="C1561" s="17" t="s">
        <v>156</v>
      </c>
      <c r="D1561" s="16" t="s">
        <v>181</v>
      </c>
      <c r="E1561" s="15" t="s">
        <v>178</v>
      </c>
      <c r="F1561" s="15" t="s">
        <v>170</v>
      </c>
      <c r="G1561" s="2" t="str">
        <f t="shared" si="25"/>
        <v>Small</v>
      </c>
      <c r="H1561" s="3">
        <v>40343</v>
      </c>
      <c r="I1561" s="4">
        <v>391.3</v>
      </c>
      <c r="J1561" s="5">
        <v>63375.114220558709</v>
      </c>
      <c r="K1561" s="6">
        <v>7.3551272112146477E-3</v>
      </c>
      <c r="L1561" s="5">
        <v>1080.4089103438018</v>
      </c>
      <c r="M1561" s="5">
        <v>272.93718860768905</v>
      </c>
      <c r="N1561" s="11">
        <v>2384.8172210792454</v>
      </c>
      <c r="O1561" s="18">
        <v>2024</v>
      </c>
    </row>
    <row r="1562" spans="1:15" ht="14.5" customHeight="1" x14ac:dyDescent="0.35">
      <c r="A1562" s="20" t="s">
        <v>3084</v>
      </c>
      <c r="B1562" s="2" t="s">
        <v>26</v>
      </c>
      <c r="C1562" s="17" t="s">
        <v>156</v>
      </c>
      <c r="D1562" s="16" t="s">
        <v>26</v>
      </c>
      <c r="E1562" s="15" t="s">
        <v>183</v>
      </c>
      <c r="F1562" s="15" t="s">
        <v>170</v>
      </c>
      <c r="G1562" s="2" t="str">
        <f t="shared" si="25"/>
        <v>Medium</v>
      </c>
      <c r="H1562" s="3">
        <v>117525</v>
      </c>
      <c r="I1562" s="4">
        <v>951.7</v>
      </c>
      <c r="J1562" s="5">
        <v>69087.45133375877</v>
      </c>
      <c r="K1562" s="6">
        <v>5.8874984700756396E-3</v>
      </c>
      <c r="L1562" s="5">
        <v>1087.9283860455221</v>
      </c>
      <c r="M1562" s="5">
        <v>0</v>
      </c>
      <c r="N1562" s="11">
        <v>2317.2185538396088</v>
      </c>
      <c r="O1562" s="18">
        <v>2024</v>
      </c>
    </row>
    <row r="1563" spans="1:15" ht="14.5" customHeight="1" x14ac:dyDescent="0.35">
      <c r="A1563" s="20" t="s">
        <v>3085</v>
      </c>
      <c r="B1563" s="2" t="s">
        <v>69</v>
      </c>
      <c r="C1563" s="17" t="s">
        <v>156</v>
      </c>
      <c r="D1563" s="16" t="s">
        <v>69</v>
      </c>
      <c r="E1563" s="15" t="s">
        <v>173</v>
      </c>
      <c r="F1563" s="15" t="s">
        <v>170</v>
      </c>
      <c r="G1563" s="2" t="str">
        <f t="shared" si="25"/>
        <v>Small</v>
      </c>
      <c r="H1563" s="3">
        <v>58524</v>
      </c>
      <c r="I1563" s="4">
        <v>1001.7</v>
      </c>
      <c r="J1563" s="5">
        <v>101447.47563392796</v>
      </c>
      <c r="K1563" s="6">
        <v>2.2270435369029953E-3</v>
      </c>
      <c r="L1563" s="5">
        <v>1229.7684329505846</v>
      </c>
      <c r="M1563" s="5">
        <v>0</v>
      </c>
      <c r="N1563" s="11">
        <v>2199.2300011960906</v>
      </c>
      <c r="O1563" s="18">
        <v>2024</v>
      </c>
    </row>
    <row r="1564" spans="1:15" ht="14.5" customHeight="1" x14ac:dyDescent="0.35">
      <c r="A1564" s="20" t="s">
        <v>3086</v>
      </c>
      <c r="B1564" s="2" t="s">
        <v>438</v>
      </c>
      <c r="C1564" s="17" t="s">
        <v>156</v>
      </c>
      <c r="D1564" s="16" t="s">
        <v>438</v>
      </c>
      <c r="E1564" s="15" t="s">
        <v>207</v>
      </c>
      <c r="F1564" s="15" t="s">
        <v>208</v>
      </c>
      <c r="G1564" s="2" t="str">
        <f t="shared" si="25"/>
        <v>Small</v>
      </c>
      <c r="H1564" s="3">
        <v>97668</v>
      </c>
      <c r="I1564" s="4">
        <v>230.3</v>
      </c>
      <c r="J1564" s="5">
        <v>193581.62648974077</v>
      </c>
      <c r="K1564" s="6">
        <v>2.685034969306149E-3</v>
      </c>
      <c r="L1564" s="5">
        <v>1455.7736003604045</v>
      </c>
      <c r="M1564" s="5">
        <v>592.3422513003236</v>
      </c>
      <c r="N1564" s="11">
        <v>2162.6760965720605</v>
      </c>
      <c r="O1564" s="18">
        <v>2024</v>
      </c>
    </row>
    <row r="1565" spans="1:15" ht="14.5" customHeight="1" x14ac:dyDescent="0.35">
      <c r="A1565" s="20" t="s">
        <v>3087</v>
      </c>
      <c r="B1565" s="2" t="s">
        <v>77</v>
      </c>
      <c r="C1565" s="17" t="s">
        <v>156</v>
      </c>
      <c r="D1565" s="16" t="s">
        <v>77</v>
      </c>
      <c r="E1565" s="15" t="s">
        <v>217</v>
      </c>
      <c r="F1565" s="15" t="s">
        <v>170</v>
      </c>
      <c r="G1565" s="2" t="str">
        <f t="shared" si="25"/>
        <v>Medium</v>
      </c>
      <c r="H1565" s="3">
        <v>161130</v>
      </c>
      <c r="I1565" s="4">
        <v>652.4</v>
      </c>
      <c r="J1565" s="5">
        <v>93946.283752249743</v>
      </c>
      <c r="K1565" s="6">
        <v>3.9748645880948825E-3</v>
      </c>
      <c r="L1565" s="5">
        <v>1224.9027336312292</v>
      </c>
      <c r="M1565" s="5">
        <v>1171.7507003041023</v>
      </c>
      <c r="N1565" s="11">
        <v>2611.9519898218828</v>
      </c>
      <c r="O1565" s="18">
        <v>2024</v>
      </c>
    </row>
    <row r="1566" spans="1:15" ht="14.5" customHeight="1" x14ac:dyDescent="0.35">
      <c r="A1566" s="20" t="s">
        <v>3088</v>
      </c>
      <c r="B1566" s="2" t="s">
        <v>513</v>
      </c>
      <c r="C1566" s="17" t="s">
        <v>156</v>
      </c>
      <c r="D1566" s="16" t="s">
        <v>513</v>
      </c>
      <c r="E1566" s="15" t="s">
        <v>207</v>
      </c>
      <c r="F1566" s="15" t="s">
        <v>208</v>
      </c>
      <c r="G1566" s="2" t="str">
        <f t="shared" si="25"/>
        <v>Medium</v>
      </c>
      <c r="H1566" s="3">
        <v>338329</v>
      </c>
      <c r="I1566" s="4">
        <v>173.6</v>
      </c>
      <c r="J1566" s="5">
        <v>162319.42680940742</v>
      </c>
      <c r="K1566" s="6">
        <v>3.1275916895428862E-3</v>
      </c>
      <c r="L1566" s="5">
        <v>1426.7047282378985</v>
      </c>
      <c r="M1566" s="5">
        <v>1139.4646069358523</v>
      </c>
      <c r="N1566" s="11">
        <v>2585.8085325230768</v>
      </c>
      <c r="O1566" s="18">
        <v>2024</v>
      </c>
    </row>
    <row r="1567" spans="1:15" ht="14.5" customHeight="1" x14ac:dyDescent="0.35">
      <c r="A1567" s="20" t="s">
        <v>3089</v>
      </c>
      <c r="B1567" s="2" t="s">
        <v>51</v>
      </c>
      <c r="C1567" s="17" t="s">
        <v>156</v>
      </c>
      <c r="D1567" s="16" t="s">
        <v>51</v>
      </c>
      <c r="E1567" s="15" t="s">
        <v>217</v>
      </c>
      <c r="F1567" s="15" t="s">
        <v>170</v>
      </c>
      <c r="G1567" s="2" t="str">
        <f t="shared" si="25"/>
        <v>Medium</v>
      </c>
      <c r="H1567" s="3">
        <v>235509</v>
      </c>
      <c r="I1567" s="4">
        <v>810</v>
      </c>
      <c r="J1567" s="5">
        <v>156221.17060919115</v>
      </c>
      <c r="K1567" s="6">
        <v>2.0350877850676477E-3</v>
      </c>
      <c r="L1567" s="5">
        <v>1076.8521656497203</v>
      </c>
      <c r="M1567" s="5">
        <v>422.18466385573373</v>
      </c>
      <c r="N1567" s="11">
        <v>1896.0319983525044</v>
      </c>
      <c r="O1567" s="18">
        <v>2024</v>
      </c>
    </row>
    <row r="1568" spans="1:15" ht="14.5" customHeight="1" x14ac:dyDescent="0.35">
      <c r="A1568" s="20" t="s">
        <v>3090</v>
      </c>
      <c r="B1568" s="2" t="s">
        <v>86</v>
      </c>
      <c r="C1568" s="17" t="s">
        <v>156</v>
      </c>
      <c r="D1568" s="16" t="s">
        <v>86</v>
      </c>
      <c r="E1568" s="15" t="s">
        <v>217</v>
      </c>
      <c r="F1568" s="15" t="s">
        <v>170</v>
      </c>
      <c r="G1568" s="2" t="str">
        <f t="shared" si="25"/>
        <v>Medium</v>
      </c>
      <c r="H1568" s="3">
        <v>158061</v>
      </c>
      <c r="I1568" s="4">
        <v>204.5</v>
      </c>
      <c r="J1568" s="5">
        <v>86959.612491379914</v>
      </c>
      <c r="K1568" s="6">
        <v>5.1010400428345487E-3</v>
      </c>
      <c r="L1568" s="5">
        <v>1364.149994432529</v>
      </c>
      <c r="M1568" s="5">
        <v>415.6306742333656</v>
      </c>
      <c r="N1568" s="11">
        <v>2782.7467597320019</v>
      </c>
      <c r="O1568" s="18">
        <v>2024</v>
      </c>
    </row>
    <row r="1569" spans="1:15" ht="14.5" customHeight="1" x14ac:dyDescent="0.35">
      <c r="A1569" s="20" t="s">
        <v>3091</v>
      </c>
      <c r="B1569" s="2" t="s">
        <v>338</v>
      </c>
      <c r="C1569" s="17" t="s">
        <v>156</v>
      </c>
      <c r="D1569" s="16" t="s">
        <v>338</v>
      </c>
      <c r="E1569" s="15" t="s">
        <v>214</v>
      </c>
      <c r="F1569" s="15" t="s">
        <v>170</v>
      </c>
      <c r="G1569" s="2" t="str">
        <f t="shared" si="25"/>
        <v>Small</v>
      </c>
      <c r="H1569" s="3">
        <v>29714</v>
      </c>
      <c r="I1569" s="4">
        <v>621.79999999999995</v>
      </c>
      <c r="J1569" s="5">
        <v>111687.43844652352</v>
      </c>
      <c r="K1569" s="6">
        <v>6.6192460212770362E-3</v>
      </c>
      <c r="L1569" s="5">
        <v>1679.4658746718719</v>
      </c>
      <c r="M1569" s="5">
        <v>230.02625025240627</v>
      </c>
      <c r="N1569" s="11">
        <v>3719.5783805613514</v>
      </c>
      <c r="O1569" s="18">
        <v>2024</v>
      </c>
    </row>
    <row r="1570" spans="1:15" ht="14.5" customHeight="1" x14ac:dyDescent="0.35">
      <c r="A1570" s="20" t="s">
        <v>3092</v>
      </c>
      <c r="B1570" s="2" t="s">
        <v>451</v>
      </c>
      <c r="C1570" s="17" t="s">
        <v>156</v>
      </c>
      <c r="D1570" s="16" t="s">
        <v>451</v>
      </c>
      <c r="E1570" s="15" t="s">
        <v>173</v>
      </c>
      <c r="F1570" s="15" t="s">
        <v>170</v>
      </c>
      <c r="G1570" s="2" t="str">
        <f t="shared" si="25"/>
        <v>Small</v>
      </c>
      <c r="H1570" s="3">
        <v>17898</v>
      </c>
      <c r="I1570" s="4">
        <v>328.3</v>
      </c>
      <c r="J1570" s="5">
        <v>125031.76237568444</v>
      </c>
      <c r="K1570" s="6">
        <v>4.8105465576315908E-3</v>
      </c>
      <c r="L1570" s="5">
        <v>1653.6214660855962</v>
      </c>
      <c r="M1570" s="5">
        <v>75.346910269303834</v>
      </c>
      <c r="N1570" s="11">
        <v>3207.9280366521398</v>
      </c>
      <c r="O1570" s="18">
        <v>2024</v>
      </c>
    </row>
    <row r="1571" spans="1:15" ht="14.5" customHeight="1" x14ac:dyDescent="0.35">
      <c r="A1571" s="20" t="s">
        <v>3093</v>
      </c>
      <c r="B1571" s="2" t="s">
        <v>588</v>
      </c>
      <c r="C1571" s="17" t="s">
        <v>156</v>
      </c>
      <c r="D1571" s="16" t="s">
        <v>588</v>
      </c>
      <c r="E1571" s="15" t="s">
        <v>178</v>
      </c>
      <c r="F1571" s="15" t="s">
        <v>170</v>
      </c>
      <c r="G1571" s="2" t="str">
        <f t="shared" si="25"/>
        <v>Small</v>
      </c>
      <c r="H1571" s="3">
        <v>33814</v>
      </c>
      <c r="I1571" s="4">
        <v>323.7</v>
      </c>
      <c r="J1571" s="5">
        <v>98286.464127284562</v>
      </c>
      <c r="K1571" s="6">
        <v>3.3308675305142922E-3</v>
      </c>
      <c r="L1571" s="5">
        <v>1358.409445791684</v>
      </c>
      <c r="M1571" s="5">
        <v>615.1916366002248</v>
      </c>
      <c r="N1571" s="11">
        <v>2980.2086118175903</v>
      </c>
      <c r="O1571" s="18">
        <v>2024</v>
      </c>
    </row>
    <row r="1572" spans="1:15" ht="14.5" customHeight="1" x14ac:dyDescent="0.35">
      <c r="A1572" s="20" t="s">
        <v>3094</v>
      </c>
      <c r="B1572" s="2" t="s">
        <v>63</v>
      </c>
      <c r="C1572" s="17" t="s">
        <v>156</v>
      </c>
      <c r="D1572" s="16" t="s">
        <v>63</v>
      </c>
      <c r="E1572" s="15" t="s">
        <v>169</v>
      </c>
      <c r="F1572" s="15" t="s">
        <v>170</v>
      </c>
      <c r="G1572" s="2" t="str">
        <f t="shared" si="25"/>
        <v>Medium</v>
      </c>
      <c r="H1572" s="3">
        <v>108505</v>
      </c>
      <c r="I1572" s="4">
        <v>2680.4</v>
      </c>
      <c r="J1572" s="5">
        <v>69653.633132113726</v>
      </c>
      <c r="K1572" s="6">
        <v>6.8280024944715615E-3</v>
      </c>
      <c r="L1572" s="5">
        <v>1298.32389843786</v>
      </c>
      <c r="M1572" s="5">
        <v>196.25823694760609</v>
      </c>
      <c r="N1572" s="11">
        <v>2580.9937941108706</v>
      </c>
      <c r="O1572" s="18">
        <v>2024</v>
      </c>
    </row>
    <row r="1573" spans="1:15" ht="14.5" customHeight="1" x14ac:dyDescent="0.35">
      <c r="A1573" s="20" t="s">
        <v>3095</v>
      </c>
      <c r="B1573" s="2" t="s">
        <v>18</v>
      </c>
      <c r="C1573" s="17" t="s">
        <v>156</v>
      </c>
      <c r="D1573" s="16" t="s">
        <v>18</v>
      </c>
      <c r="E1573" s="15" t="s">
        <v>173</v>
      </c>
      <c r="F1573" s="15" t="s">
        <v>170</v>
      </c>
      <c r="G1573" s="2" t="str">
        <f t="shared" si="25"/>
        <v>Small</v>
      </c>
      <c r="H1573" s="3">
        <v>93584</v>
      </c>
      <c r="I1573" s="4">
        <v>1390.6</v>
      </c>
      <c r="J1573" s="5">
        <v>80899.87338647632</v>
      </c>
      <c r="K1573" s="6">
        <v>5.6284353293108089E-3</v>
      </c>
      <c r="L1573" s="5">
        <v>1330.4547572234569</v>
      </c>
      <c r="M1573" s="5">
        <v>30.157868866472903</v>
      </c>
      <c r="N1573" s="11">
        <v>2563.1070802701315</v>
      </c>
      <c r="O1573" s="18">
        <v>2024</v>
      </c>
    </row>
    <row r="1574" spans="1:15" ht="14.5" customHeight="1" x14ac:dyDescent="0.35">
      <c r="A1574" s="20" t="s">
        <v>3096</v>
      </c>
      <c r="B1574" s="2" t="s">
        <v>272</v>
      </c>
      <c r="C1574" s="17" t="s">
        <v>156</v>
      </c>
      <c r="D1574" s="16" t="s">
        <v>272</v>
      </c>
      <c r="E1574" s="15" t="s">
        <v>273</v>
      </c>
      <c r="F1574" s="15" t="s">
        <v>208</v>
      </c>
      <c r="G1574" s="2" t="str">
        <f t="shared" si="25"/>
        <v>Large</v>
      </c>
      <c r="H1574" s="3">
        <v>1525920</v>
      </c>
      <c r="I1574" s="4">
        <v>912.1</v>
      </c>
      <c r="J1574" s="5">
        <v>305269.87079401279</v>
      </c>
      <c r="K1574" s="6">
        <v>1.4469352922473623E-3</v>
      </c>
      <c r="L1574" s="5">
        <v>1789.141978013264</v>
      </c>
      <c r="M1574" s="5">
        <v>1238.4388341000838</v>
      </c>
      <c r="N1574" s="11">
        <v>2722.5191872313094</v>
      </c>
      <c r="O1574" s="18">
        <v>2024</v>
      </c>
    </row>
    <row r="1575" spans="1:15" ht="14.5" customHeight="1" x14ac:dyDescent="0.35">
      <c r="A1575" s="20" t="s">
        <v>3097</v>
      </c>
      <c r="B1575" s="2" t="s">
        <v>324</v>
      </c>
      <c r="C1575" s="17" t="s">
        <v>156</v>
      </c>
      <c r="D1575" s="16" t="s">
        <v>324</v>
      </c>
      <c r="E1575" s="15" t="s">
        <v>207</v>
      </c>
      <c r="F1575" s="15" t="s">
        <v>208</v>
      </c>
      <c r="G1575" s="2" t="str">
        <f t="shared" si="25"/>
        <v>Small</v>
      </c>
      <c r="H1575" s="3">
        <v>78624</v>
      </c>
      <c r="I1575" s="4">
        <v>968.1</v>
      </c>
      <c r="J1575" s="5">
        <v>170405.01582214082</v>
      </c>
      <c r="K1575" s="6">
        <v>5.3039718221228153E-3</v>
      </c>
      <c r="L1575" s="5">
        <v>2103.6870529354906</v>
      </c>
      <c r="M1575" s="5">
        <v>1427.8718966218967</v>
      </c>
      <c r="N1575" s="11">
        <v>3782.4398701414329</v>
      </c>
      <c r="O1575" s="18">
        <v>2024</v>
      </c>
    </row>
    <row r="1576" spans="1:15" ht="14.5" customHeight="1" x14ac:dyDescent="0.35">
      <c r="A1576" s="20" t="s">
        <v>3098</v>
      </c>
      <c r="B1576" s="2" t="s">
        <v>292</v>
      </c>
      <c r="C1576" s="17" t="s">
        <v>156</v>
      </c>
      <c r="D1576" s="16" t="s">
        <v>292</v>
      </c>
      <c r="E1576" s="15" t="s">
        <v>173</v>
      </c>
      <c r="F1576" s="15" t="s">
        <v>170</v>
      </c>
      <c r="G1576" s="2" t="str">
        <f t="shared" si="25"/>
        <v>Small</v>
      </c>
      <c r="H1576" s="3">
        <v>48455</v>
      </c>
      <c r="I1576" s="4">
        <v>518.6</v>
      </c>
      <c r="J1576" s="5">
        <v>76646.952368176659</v>
      </c>
      <c r="K1576" s="6">
        <v>7.0336664115210872E-3</v>
      </c>
      <c r="L1576" s="5">
        <v>1284.6155791971933</v>
      </c>
      <c r="M1576" s="5">
        <v>75.843566195439067</v>
      </c>
      <c r="N1576" s="11">
        <v>2029.4615763079148</v>
      </c>
      <c r="O1576" s="18">
        <v>2024</v>
      </c>
    </row>
    <row r="1577" spans="1:15" ht="14.5" customHeight="1" x14ac:dyDescent="0.35">
      <c r="A1577" s="20" t="s">
        <v>3099</v>
      </c>
      <c r="B1577" s="2" t="s">
        <v>39</v>
      </c>
      <c r="C1577" s="17" t="s">
        <v>156</v>
      </c>
      <c r="D1577" s="16" t="s">
        <v>39</v>
      </c>
      <c r="E1577" s="15" t="s">
        <v>173</v>
      </c>
      <c r="F1577" s="15" t="s">
        <v>170</v>
      </c>
      <c r="G1577" s="2" t="str">
        <f t="shared" si="25"/>
        <v>Medium</v>
      </c>
      <c r="H1577" s="3">
        <v>105740</v>
      </c>
      <c r="I1577" s="4">
        <v>474.7</v>
      </c>
      <c r="J1577" s="5">
        <v>95241.652383204084</v>
      </c>
      <c r="K1577" s="6">
        <v>5.2072743515693002E-3</v>
      </c>
      <c r="L1577" s="5">
        <v>1211.8277094760733</v>
      </c>
      <c r="M1577" s="5">
        <v>572.2330450160772</v>
      </c>
      <c r="N1577" s="11">
        <v>2565.1147720824665</v>
      </c>
      <c r="O1577" s="18">
        <v>2024</v>
      </c>
    </row>
    <row r="1578" spans="1:15" ht="14.5" customHeight="1" x14ac:dyDescent="0.35">
      <c r="A1578" s="20" t="s">
        <v>3100</v>
      </c>
      <c r="B1578" s="2" t="s">
        <v>43</v>
      </c>
      <c r="C1578" s="17" t="s">
        <v>156</v>
      </c>
      <c r="D1578" s="16" t="s">
        <v>43</v>
      </c>
      <c r="E1578" s="15" t="s">
        <v>207</v>
      </c>
      <c r="F1578" s="15" t="s">
        <v>208</v>
      </c>
      <c r="G1578" s="2" t="str">
        <f t="shared" si="25"/>
        <v>Medium</v>
      </c>
      <c r="H1578" s="3">
        <v>181851</v>
      </c>
      <c r="I1578" s="4">
        <v>1124.2</v>
      </c>
      <c r="J1578" s="5">
        <v>170431.70815117873</v>
      </c>
      <c r="K1578" s="6">
        <v>2.4258857060641312E-3</v>
      </c>
      <c r="L1578" s="5">
        <v>1461.7620414515179</v>
      </c>
      <c r="M1578" s="5">
        <v>1050.6291964300444</v>
      </c>
      <c r="N1578" s="11">
        <v>2648.3375895650834</v>
      </c>
      <c r="O1578" s="18">
        <v>2024</v>
      </c>
    </row>
    <row r="1579" spans="1:15" ht="14.5" customHeight="1" x14ac:dyDescent="0.35">
      <c r="A1579" s="20" t="s">
        <v>3101</v>
      </c>
      <c r="B1579" s="2" t="s">
        <v>32</v>
      </c>
      <c r="C1579" s="17" t="s">
        <v>156</v>
      </c>
      <c r="D1579" s="16" t="s">
        <v>32</v>
      </c>
      <c r="E1579" s="15" t="s">
        <v>217</v>
      </c>
      <c r="F1579" s="15" t="s">
        <v>170</v>
      </c>
      <c r="G1579" s="2" t="str">
        <f t="shared" si="25"/>
        <v>Small</v>
      </c>
      <c r="H1579" s="3">
        <v>65737</v>
      </c>
      <c r="I1579" s="4">
        <v>867</v>
      </c>
      <c r="J1579" s="5">
        <v>230785.20149991632</v>
      </c>
      <c r="K1579" s="6">
        <v>3.1574446420431341E-3</v>
      </c>
      <c r="L1579" s="5">
        <v>2035.5234799275902</v>
      </c>
      <c r="M1579" s="5">
        <v>673.44113665059251</v>
      </c>
      <c r="N1579" s="11">
        <v>3220.5998600483745</v>
      </c>
      <c r="O1579" s="18">
        <v>2024</v>
      </c>
    </row>
    <row r="1580" spans="1:15" ht="14.5" customHeight="1" x14ac:dyDescent="0.35">
      <c r="A1580" s="20" t="s">
        <v>3102</v>
      </c>
      <c r="B1580" s="2" t="s">
        <v>237</v>
      </c>
      <c r="C1580" s="17" t="s">
        <v>156</v>
      </c>
      <c r="D1580" s="16" t="s">
        <v>237</v>
      </c>
      <c r="E1580" s="15" t="s">
        <v>217</v>
      </c>
      <c r="F1580" s="15" t="s">
        <v>170</v>
      </c>
      <c r="G1580" s="2" t="str">
        <f t="shared" si="25"/>
        <v>Small</v>
      </c>
      <c r="H1580" s="3">
        <v>61302</v>
      </c>
      <c r="I1580" s="4">
        <v>831.2</v>
      </c>
      <c r="J1580" s="5">
        <v>108646.7226517895</v>
      </c>
      <c r="K1580" s="6">
        <v>5.4876173634717919E-3</v>
      </c>
      <c r="L1580" s="5">
        <v>1148.3424281426378</v>
      </c>
      <c r="M1580" s="5">
        <v>448.56821066196858</v>
      </c>
      <c r="N1580" s="11">
        <v>2493.3584563309519</v>
      </c>
      <c r="O1580" s="18">
        <v>2024</v>
      </c>
    </row>
    <row r="1581" spans="1:15" ht="14.5" customHeight="1" x14ac:dyDescent="0.35">
      <c r="A1581" s="20" t="s">
        <v>3103</v>
      </c>
      <c r="B1581" s="2" t="s">
        <v>234</v>
      </c>
      <c r="C1581" s="17" t="s">
        <v>156</v>
      </c>
      <c r="D1581" s="16" t="s">
        <v>234</v>
      </c>
      <c r="E1581" s="15" t="s">
        <v>178</v>
      </c>
      <c r="F1581" s="15" t="s">
        <v>170</v>
      </c>
      <c r="G1581" s="2" t="str">
        <f t="shared" si="25"/>
        <v>Small</v>
      </c>
      <c r="H1581" s="3">
        <v>91283</v>
      </c>
      <c r="I1581" s="4">
        <v>603.79999999999995</v>
      </c>
      <c r="J1581" s="5">
        <v>82757.151945050005</v>
      </c>
      <c r="K1581" s="6">
        <v>5.1030340760729598E-3</v>
      </c>
      <c r="L1581" s="5">
        <v>1193.6367341125949</v>
      </c>
      <c r="M1581" s="5">
        <v>89.140365675974721</v>
      </c>
      <c r="N1581" s="11">
        <v>2630.765279405804</v>
      </c>
      <c r="O1581" s="18">
        <v>2024</v>
      </c>
    </row>
    <row r="1582" spans="1:15" ht="14.5" customHeight="1" x14ac:dyDescent="0.35">
      <c r="A1582" s="20" t="s">
        <v>3104</v>
      </c>
      <c r="B1582" s="2" t="s">
        <v>55</v>
      </c>
      <c r="C1582" s="17" t="s">
        <v>156</v>
      </c>
      <c r="D1582" s="16" t="s">
        <v>55</v>
      </c>
      <c r="E1582" s="15" t="s">
        <v>207</v>
      </c>
      <c r="F1582" s="15" t="s">
        <v>208</v>
      </c>
      <c r="G1582" s="2" t="str">
        <f t="shared" si="25"/>
        <v>Large</v>
      </c>
      <c r="H1582" s="3">
        <v>1004457</v>
      </c>
      <c r="I1582" s="4">
        <v>430.5</v>
      </c>
      <c r="J1582" s="5">
        <v>228912.22087257096</v>
      </c>
      <c r="K1582" s="6">
        <v>3.2120065791361469E-3</v>
      </c>
      <c r="L1582" s="5">
        <v>1700.0972206873962</v>
      </c>
      <c r="M1582" s="5">
        <v>1576.0326783525825</v>
      </c>
      <c r="N1582" s="11">
        <v>3594.239256633186</v>
      </c>
      <c r="O1582" s="18">
        <v>2024</v>
      </c>
    </row>
    <row r="1583" spans="1:15" ht="14.5" customHeight="1" x14ac:dyDescent="0.35">
      <c r="A1583" s="20" t="s">
        <v>3105</v>
      </c>
      <c r="B1583" s="2" t="s">
        <v>231</v>
      </c>
      <c r="C1583" s="17" t="s">
        <v>156</v>
      </c>
      <c r="D1583" s="16" t="s">
        <v>231</v>
      </c>
      <c r="E1583" s="15" t="s">
        <v>178</v>
      </c>
      <c r="F1583" s="15" t="s">
        <v>170</v>
      </c>
      <c r="G1583" s="2" t="str">
        <f t="shared" si="25"/>
        <v>Small</v>
      </c>
      <c r="H1583" s="3">
        <v>40531</v>
      </c>
      <c r="I1583" s="4">
        <v>592.79999999999995</v>
      </c>
      <c r="J1583" s="5">
        <v>78954.298290197621</v>
      </c>
      <c r="K1583" s="6">
        <v>8.4608698245247759E-3</v>
      </c>
      <c r="L1583" s="5">
        <v>1377.7512780340974</v>
      </c>
      <c r="M1583" s="5">
        <v>969.09012533616237</v>
      </c>
      <c r="N1583" s="11">
        <v>4701.4941590387598</v>
      </c>
      <c r="O1583" s="18">
        <v>2024</v>
      </c>
    </row>
    <row r="1584" spans="1:15" ht="14.5" customHeight="1" x14ac:dyDescent="0.35">
      <c r="A1584" s="20" t="s">
        <v>3106</v>
      </c>
      <c r="B1584" s="2" t="s">
        <v>289</v>
      </c>
      <c r="C1584" s="17" t="s">
        <v>156</v>
      </c>
      <c r="D1584" s="16" t="s">
        <v>289</v>
      </c>
      <c r="E1584" s="15" t="s">
        <v>178</v>
      </c>
      <c r="F1584" s="15" t="s">
        <v>170</v>
      </c>
      <c r="G1584" s="2" t="str">
        <f t="shared" si="25"/>
        <v>Small</v>
      </c>
      <c r="H1584" s="3">
        <v>24774</v>
      </c>
      <c r="I1584" s="4">
        <v>338.1</v>
      </c>
      <c r="J1584" s="5">
        <v>146352.84911600873</v>
      </c>
      <c r="K1584" s="6">
        <v>4.404604258758279E-3</v>
      </c>
      <c r="L1584" s="5">
        <v>1527.0746750625656</v>
      </c>
      <c r="M1584" s="5">
        <v>307.40788730120289</v>
      </c>
      <c r="N1584" s="11">
        <v>3041.3632437232582</v>
      </c>
      <c r="O1584" s="18">
        <v>2024</v>
      </c>
    </row>
  </sheetData>
  <conditionalFormatting sqref="A1:A62">
    <cfRule type="duplicateValues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3C7BF1-2ADD-4030-A93C-05F451E74A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Dufresne</dc:creator>
  <cp:lastModifiedBy>Saryu Kummitha</cp:lastModifiedBy>
  <dcterms:created xsi:type="dcterms:W3CDTF">2026-01-02T14:36:42Z</dcterms:created>
  <dcterms:modified xsi:type="dcterms:W3CDTF">2026-03-16T14:30:31Z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76bc99-b2d9-4c72-8373-71b8b88f3815_Enabled">
    <vt:lpwstr>true</vt:lpwstr>
  </property>
  <property fmtid="{D5CDD505-2E9C-101B-9397-08002B2CF9AE}" pid="3" name="MSIP_Label_c376bc99-b2d9-4c72-8373-71b8b88f3815_SetDate">
    <vt:lpwstr>2026-01-02T14:36:42Z</vt:lpwstr>
  </property>
  <property fmtid="{D5CDD505-2E9C-101B-9397-08002B2CF9AE}" pid="4" name="MSIP_Label_c376bc99-b2d9-4c72-8373-71b8b88f3815_Method">
    <vt:lpwstr>Standard</vt:lpwstr>
  </property>
  <property fmtid="{D5CDD505-2E9C-101B-9397-08002B2CF9AE}" pid="5" name="MSIP_Label_c376bc99-b2d9-4c72-8373-71b8b88f3815_Name">
    <vt:lpwstr>Internal Use Only</vt:lpwstr>
  </property>
  <property fmtid="{D5CDD505-2E9C-101B-9397-08002B2CF9AE}" pid="6" name="MSIP_Label_c376bc99-b2d9-4c72-8373-71b8b88f3815_SiteId">
    <vt:lpwstr>23b2cc00-e776-44cb-a980-c7c90c455026</vt:lpwstr>
  </property>
  <property fmtid="{D5CDD505-2E9C-101B-9397-08002B2CF9AE}" pid="7" name="MSIP_Label_c376bc99-b2d9-4c72-8373-71b8b88f3815_ActionId">
    <vt:lpwstr>181a7692-c2e0-4c50-a630-92c034da0d1c</vt:lpwstr>
  </property>
  <property fmtid="{D5CDD505-2E9C-101B-9397-08002B2CF9AE}" pid="8" name="MSIP_Label_c376bc99-b2d9-4c72-8373-71b8b88f3815_ContentBits">
    <vt:lpwstr>0</vt:lpwstr>
  </property>
  <property fmtid="{D5CDD505-2E9C-101B-9397-08002B2CF9AE}" pid="9" name="MSIP_Label_c376bc99-b2d9-4c72-8373-71b8b88f3815_Tag">
    <vt:lpwstr>10, 3, 0, 1</vt:lpwstr>
  </property>
</Properties>
</file>